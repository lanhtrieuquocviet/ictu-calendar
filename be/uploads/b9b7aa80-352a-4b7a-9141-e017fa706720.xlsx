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setup" sheetId="2" r:id="rId5"/>
    <sheet state="visible" name="Dữ liệu" sheetId="3" r:id="rId6"/>
    <sheet state="hidden" name="Sổ cấp số HĐ" sheetId="4" r:id="rId7"/>
  </sheets>
  <definedNames>
    <definedName hidden="1" localSheetId="2" name="_xlnm._FilterDatabase">'Dữ liệu'!$E$3:$E$250</definedName>
  </definedNames>
  <calcPr/>
</workbook>
</file>

<file path=xl/sharedStrings.xml><?xml version="1.0" encoding="utf-8"?>
<sst xmlns="http://schemas.openxmlformats.org/spreadsheetml/2006/main" count="1223" uniqueCount="358">
  <si>
    <r>
      <rPr>
        <rFont val="Roboto"/>
        <b val="0"/>
        <color rgb="FFFFFFFF"/>
        <sz val="34.0"/>
      </rPr>
      <t>TRUNG TÂM DỊCH VỤ VÀ HỖ TRỢ DOANH NGHIỆP</t>
    </r>
    <r>
      <rPr>
        <rFont val="Roboto"/>
        <b/>
        <color rgb="FFFFFFFF"/>
        <sz val="34.0"/>
      </rPr>
      <t xml:space="preserve">
DỮ LIỆU KHÁCH HÀNG</t>
    </r>
  </si>
  <si>
    <t>Số doanh nghiệp thực hiện:</t>
  </si>
  <si>
    <t>SỐ LƯỢNG HỢP ĐỒNG CỦA CÁC PHÒNG</t>
  </si>
  <si>
    <t>Giá trị 
Hợp đồng</t>
  </si>
  <si>
    <t>SỐ LƯỢNG HỢP ĐỒNG THỰC HIỆN TRONG CÁC KHU CÔNG NGHIỆP</t>
  </si>
  <si>
    <t>Tên</t>
  </si>
  <si>
    <t>Hợp đồng</t>
  </si>
  <si>
    <t>Setup</t>
  </si>
  <si>
    <t>Khu công nghiệp</t>
  </si>
  <si>
    <t>Tên cán bộ khai thác</t>
  </si>
  <si>
    <t>Lĩnh vực khai thác</t>
  </si>
  <si>
    <t>Quang Minh</t>
  </si>
  <si>
    <t>Văn phòng</t>
  </si>
  <si>
    <t>Kiểm định thiết bị
an toàn lao động</t>
  </si>
  <si>
    <t>Thăng Long</t>
  </si>
  <si>
    <t>Đào tạo- Bồi dưỡng</t>
  </si>
  <si>
    <t>Kiểm định, hiệu chuẩn
PTĐ Nhóm 2</t>
  </si>
  <si>
    <t>Nội Bài</t>
  </si>
  <si>
    <t>Hỗ trợ Doanh nghiệp</t>
  </si>
  <si>
    <t xml:space="preserve">Đường dây 
và trạm biến áp </t>
  </si>
  <si>
    <t>Sài Đồng</t>
  </si>
  <si>
    <t>Khoa học Công nghệ</t>
  </si>
  <si>
    <t xml:space="preserve">Kiểm toán năng lượng </t>
  </si>
  <si>
    <t>Thạch Thất Quốc Oai</t>
  </si>
  <si>
    <t>Thủ tục hành chính</t>
  </si>
  <si>
    <t>Phú Nghĩa</t>
  </si>
  <si>
    <t>Đào tạo- Huấn luyện</t>
  </si>
  <si>
    <t>Thường Tín</t>
  </si>
  <si>
    <t>Quan trắc môi trường</t>
  </si>
  <si>
    <t>Quan trắc môi trường lao động</t>
  </si>
  <si>
    <t>Phân loại lao động</t>
  </si>
  <si>
    <t>Hà Nội Đài Tư</t>
  </si>
  <si>
    <t xml:space="preserve">Hồ sơ môi trường </t>
  </si>
  <si>
    <t>Khác</t>
  </si>
  <si>
    <t>Khám sức khỏe</t>
  </si>
  <si>
    <t>PCCC</t>
  </si>
  <si>
    <t>CNC Hòa Lạc</t>
  </si>
  <si>
    <r>
      <rPr>
        <rFont val="Roboto"/>
        <b val="0"/>
        <color rgb="FFF3F3F3"/>
        <sz val="36.0"/>
      </rPr>
      <t xml:space="preserve">TRUNG TÂM DỊCH VỤ VÀ HỖ TRỢ DOANH NGHIỆP
</t>
    </r>
    <r>
      <rPr>
        <rFont val="Roboto"/>
        <b/>
        <color rgb="FFF3F3F3"/>
        <sz val="36.0"/>
      </rPr>
      <t>DỮ LIỆU DOANH NGHIỆP</t>
    </r>
  </si>
  <si>
    <t>STT</t>
  </si>
  <si>
    <t>Tên Doanh nghiệp</t>
  </si>
  <si>
    <t>Phòng thực hiện</t>
  </si>
  <si>
    <t>Tên nhân sự</t>
  </si>
  <si>
    <t>Lĩnh vực
THỰC HIỆN</t>
  </si>
  <si>
    <t>Ghi chú</t>
  </si>
  <si>
    <t>Công ty CP đầu tư P69</t>
  </si>
  <si>
    <t>Mr. Cường</t>
  </si>
  <si>
    <t>Công ty TNHH Asahi Intecc Hà Nội</t>
  </si>
  <si>
    <t>Hợp đồng bảo mật</t>
  </si>
  <si>
    <t>Công ty Nidec Chaun Choung Việt Nam</t>
  </si>
  <si>
    <t>Mr Đạt</t>
  </si>
  <si>
    <t>Mr Cường</t>
  </si>
  <si>
    <t>Công ty TNHH Canon Việt Nam</t>
  </si>
  <si>
    <t>Ms. Uyên</t>
  </si>
  <si>
    <t>Công ty TNHH nhà thép tiền chế Zamil Việt Nam</t>
  </si>
  <si>
    <t>Ms. Hồng, Mr. Cường</t>
  </si>
  <si>
    <t>Công ty TNHH Panasonic System Network Việt Nam</t>
  </si>
  <si>
    <t>Công ty TNHH HAL Việt Nam</t>
  </si>
  <si>
    <t>Công ty TNHH DKSH Việt Nam</t>
  </si>
  <si>
    <t>Ms. Thư</t>
  </si>
  <si>
    <t>Công ty CP xuất nhập khẩu y tế Việt Nam</t>
  </si>
  <si>
    <t>Công ty TNHH Tenma Việt Nam</t>
  </si>
  <si>
    <t>Mr. Tuấn</t>
  </si>
  <si>
    <t>Công ty CP In Tài chính</t>
  </si>
  <si>
    <t>Ms. Thảo</t>
  </si>
  <si>
    <t>Công ty TNHH dược phẩm Gigamed</t>
  </si>
  <si>
    <t>Công ty TNHH BLD Vina</t>
  </si>
  <si>
    <t>Ms. Huyền</t>
  </si>
  <si>
    <t>Công ty TNHH Kyoei Việt Nam</t>
  </si>
  <si>
    <t>Ms. Thủy</t>
  </si>
  <si>
    <t>Công ty TNHH URC Hà Nội</t>
  </si>
  <si>
    <t>Ms . Ngà, Mr. Tuấn</t>
  </si>
  <si>
    <t>Công ty TNHH sản phẩm Ricoh Imaging Việt Nam</t>
  </si>
  <si>
    <t>Ms. Hà</t>
  </si>
  <si>
    <t>Công ty CP VLXD Sông Đáy (Bắc Ninh)</t>
  </si>
  <si>
    <t>Mr. Hữu</t>
  </si>
  <si>
    <t>Công ty TNHH bê tông đúc sẵn Sông Đáy</t>
  </si>
  <si>
    <t>Mr Hữu</t>
  </si>
  <si>
    <t>Công ty TNHH Nitta Sông Đáy</t>
  </si>
  <si>
    <t>Mr Hưũ</t>
  </si>
  <si>
    <t>Công ty CP mặt dựng CAG</t>
  </si>
  <si>
    <t>Công ty TNHH Suncall Technology Việt Nam</t>
  </si>
  <si>
    <t>Ms Ngân</t>
  </si>
  <si>
    <t>Công ty CP chế tạo máy SORA Việt Nam</t>
  </si>
  <si>
    <t>Công ty CP ITC Việt Nam</t>
  </si>
  <si>
    <t>Công ty TNHH Jtec Hà Nội</t>
  </si>
  <si>
    <t>Ms Phượng</t>
  </si>
  <si>
    <t>Công ty TNHH công nghiệp Star Hair</t>
  </si>
  <si>
    <t>Ms Hà</t>
  </si>
  <si>
    <t>Công ty CP Hanel xốp nhựa</t>
  </si>
  <si>
    <t>Ms. Thu</t>
  </si>
  <si>
    <t>Công ty TNHH khuôn đúc Tsukuba Việt Nam</t>
  </si>
  <si>
    <t>Ms. Ánh</t>
  </si>
  <si>
    <t>Công ty TNHH sản xuất dược phẩm Medlac Pharma Italy</t>
  </si>
  <si>
    <t>Công ty TNHH Sơn Dương Vàng</t>
  </si>
  <si>
    <t>Ms. Mai Linh</t>
  </si>
  <si>
    <t>Công ty TNHH Youngfast Optoelectronics Việt Nam</t>
  </si>
  <si>
    <t>Mr. Dương</t>
  </si>
  <si>
    <t>Công ty CP dịch vụ đô thi Him lam</t>
  </si>
  <si>
    <t>Ms. Phương</t>
  </si>
  <si>
    <t>Công ty CP Dịch vụ đô thi Him Lam</t>
  </si>
  <si>
    <t>Công ty TNHH công nghiệp KYB Việt Nam</t>
  </si>
  <si>
    <t>Công ty cổ phần chăn nuôi CP Việt Nam</t>
  </si>
  <si>
    <t>Ms Huy; Ms Hiền</t>
  </si>
  <si>
    <t>Công ty TNHH sản xuất và thương mại Bình Thành (2 chi nhánh)</t>
  </si>
  <si>
    <t>Ms. Dung</t>
  </si>
  <si>
    <t>Công ty TNHH Vàng -bạc - đá quý Huy Thành</t>
  </si>
  <si>
    <t>Công ty TNHH Điện tử Lập Tín</t>
  </si>
  <si>
    <t>Công ty TNHH Phúc An</t>
  </si>
  <si>
    <t>Mr. Thắng</t>
  </si>
  <si>
    <t>Công ty CP In kỹ thuật số ITC</t>
  </si>
  <si>
    <t>Công ty TNHH Doo Jung Việt Nam</t>
  </si>
  <si>
    <t>Mr. Thịnh</t>
  </si>
  <si>
    <t>Công ty CP chế tạo kim khí MLC</t>
  </si>
  <si>
    <t>Ms. Hương</t>
  </si>
  <si>
    <t>Công ty TNHH Hamagasu Việt Nam</t>
  </si>
  <si>
    <t>Ms Huế</t>
  </si>
  <si>
    <t>Công ty CP Gốm sứ Toàn Quốc</t>
  </si>
  <si>
    <t>Ms. Hường</t>
  </si>
  <si>
    <t>Công ty TNHH Nippo Mechatronics Việt Nam</t>
  </si>
  <si>
    <t>Ms. Hằng, Ms. Kiều Vân, Ms.Mai Anh, Ms. Huệ</t>
  </si>
  <si>
    <t>Công ty TNHH Kim khí dong Shin Việt Nam</t>
  </si>
  <si>
    <t>Ms chang</t>
  </si>
  <si>
    <t>Công ty TNHH hokuyo presion Việt Nam</t>
  </si>
  <si>
    <t>Ms Nhung</t>
  </si>
  <si>
    <t>Công ty TNHH Roki Việt Nam</t>
  </si>
  <si>
    <t>Ms Thảo</t>
  </si>
  <si>
    <t>Công ty TNHH Megatech Việt Nam</t>
  </si>
  <si>
    <t>Ms Hồng</t>
  </si>
  <si>
    <t>Công ty TNHH Ferroli Asean</t>
  </si>
  <si>
    <t>Ms. Nguyệt, Ms. Lưu</t>
  </si>
  <si>
    <t>Công ty TNHH Fujico Việt Nam</t>
  </si>
  <si>
    <t>Mr. Hiển</t>
  </si>
  <si>
    <t>Công ty TNHH Kein Hing (03 nhà máy)</t>
  </si>
  <si>
    <t>Ms Nga; Ms Thơm; Ms Yến</t>
  </si>
  <si>
    <t>Công ty TNHH Vina Taiyo Spring</t>
  </si>
  <si>
    <t>Ms Huyền</t>
  </si>
  <si>
    <t>Công ty TNHH Zuellig Pharma Việt Nam</t>
  </si>
  <si>
    <t>Công ty TNHH Nagatsu Việt Nam</t>
  </si>
  <si>
    <t>Ms. Nhi, Hằng</t>
  </si>
  <si>
    <t>Công ty TNHH Rhythm Việt Nam</t>
  </si>
  <si>
    <t>Công ty TNHH Kishiro Việt Nam</t>
  </si>
  <si>
    <t>Ms. Hằng</t>
  </si>
  <si>
    <t>Công ty TNHH Newhope Hà Nội</t>
  </si>
  <si>
    <t>Ms. Hải</t>
  </si>
  <si>
    <t>Công ty TNHH TOHO Việt Nam</t>
  </si>
  <si>
    <t>Ms Hằng</t>
  </si>
  <si>
    <t>Công ty TNHH Atsumitec Việt Nam</t>
  </si>
  <si>
    <t>Ms Thơm, Lan</t>
  </si>
  <si>
    <t>Công ty TNHH GSK Việt Nam – chi nhánh Hà Nội I+II</t>
  </si>
  <si>
    <t>Công ty TNHH Credit up Việt Nam</t>
  </si>
  <si>
    <t>Ms. Hoa</t>
  </si>
  <si>
    <t>Công ty TNHH công nghiệp Adcel Việt Nam</t>
  </si>
  <si>
    <t>Ms. Huế</t>
  </si>
  <si>
    <t>Công ty TNHH Thiết bị dầu khí Hà Nội</t>
  </si>
  <si>
    <t>Ms. Ly</t>
  </si>
  <si>
    <t>Công ty CP thép Mê Lin</t>
  </si>
  <si>
    <t>Công ty TNHH vật liệu đặc biệt Giai Đức Việt Nam</t>
  </si>
  <si>
    <t>Ms Ái</t>
  </si>
  <si>
    <t>Công ty TNHH chế tạo dộng cơ Zongshen Việt Nam</t>
  </si>
  <si>
    <t>Ms Quên</t>
  </si>
  <si>
    <t>Công ty TNHH Enkei Việt Nam</t>
  </si>
  <si>
    <t>Mr. Bằng</t>
  </si>
  <si>
    <t>Cty TNHH Megatech Việt Nam</t>
  </si>
  <si>
    <t>Cty TNHH Nissei Electric Hà Nội</t>
  </si>
  <si>
    <t>Ms Minh</t>
  </si>
  <si>
    <t>Cty TNHH Sumi Hanel</t>
  </si>
  <si>
    <t>Ms Lưu</t>
  </si>
  <si>
    <t>Cty TNHH CP Hải Dương</t>
  </si>
  <si>
    <t>Mr Dương</t>
  </si>
  <si>
    <t>Cty TNHH Panasonic Device</t>
  </si>
  <si>
    <t>Ms Thương</t>
  </si>
  <si>
    <t>Công ty Toyo Electric</t>
  </si>
  <si>
    <t>Ms chuyên</t>
  </si>
  <si>
    <t>Công ty Takase</t>
  </si>
  <si>
    <t>Ms thúy</t>
  </si>
  <si>
    <t>Công ty Antech</t>
  </si>
  <si>
    <t>Công ty đồ chơi Cheiwa</t>
  </si>
  <si>
    <t>Mr Mậu</t>
  </si>
  <si>
    <t>Công ty Đồng Phát</t>
  </si>
  <si>
    <t>Ms Xuân</t>
  </si>
  <si>
    <t>Công ty Higraket</t>
  </si>
  <si>
    <t>Ms Lệ</t>
  </si>
  <si>
    <t>Công ty Maruka</t>
  </si>
  <si>
    <t>Công ty Marutaka</t>
  </si>
  <si>
    <t>Ms Nga</t>
  </si>
  <si>
    <t>DNCX Nitori</t>
  </si>
  <si>
    <t>Ms Lâm</t>
  </si>
  <si>
    <t>Công ty Onaga</t>
  </si>
  <si>
    <t>Ms Thuân</t>
  </si>
  <si>
    <t>Công ty dược phẩm Phúc Thái</t>
  </si>
  <si>
    <t>Công ty Sao Kim</t>
  </si>
  <si>
    <t>Mr Hưng</t>
  </si>
  <si>
    <t>Công ty Taiyo Ink</t>
  </si>
  <si>
    <t>Công ty Tokyo Micro</t>
  </si>
  <si>
    <t>Công ty VSO Hà Nội</t>
  </si>
  <si>
    <t>Ms Ngọc Anh</t>
  </si>
  <si>
    <t>Công ty Sakurai</t>
  </si>
  <si>
    <t>Ms Hoa</t>
  </si>
  <si>
    <t>Cty TNHH Zongshen Việt Nam</t>
  </si>
  <si>
    <t>Ms Quyên</t>
  </si>
  <si>
    <t>Công ty Kintetsu</t>
  </si>
  <si>
    <t>Ms Lộc</t>
  </si>
  <si>
    <t>Cty TNHH Newhope Hà Nội</t>
  </si>
  <si>
    <t>Ms Hải</t>
  </si>
  <si>
    <t>Santomas</t>
  </si>
  <si>
    <t>Cty TNHH Linh kiện điện tử SEI (Việt Nam)</t>
  </si>
  <si>
    <t>Ms Đức</t>
  </si>
  <si>
    <t>Cty TNHH Sumi Heavy</t>
  </si>
  <si>
    <t>Mr Lân</t>
  </si>
  <si>
    <t>Cty CP CN công nghiệp Bưu chính Viễn thông (VNPT)</t>
  </si>
  <si>
    <t>Ms Nụ</t>
  </si>
  <si>
    <t>Cty TNHH Nissan Automotive Techno Logy Việt Nam</t>
  </si>
  <si>
    <t>Viện Đo lường Việt Nam</t>
  </si>
  <si>
    <t>Cty TNHH Nidec Chaun Choung Việt Nam</t>
  </si>
  <si>
    <t>Ms Thắng</t>
  </si>
  <si>
    <t>Cty TNHH Nidec Techno Motor Việt Nam</t>
  </si>
  <si>
    <t>Ms Ngọc, Ms Lan</t>
  </si>
  <si>
    <t>Ban QL các Khu CNC và Khu Công nghiệp TP. Hà Nội</t>
  </si>
  <si>
    <t>Ms Oanh, Thủy</t>
  </si>
  <si>
    <t>Cty CP Vinalines Hòa Lạc Logistic</t>
  </si>
  <si>
    <t>Ms Mai</t>
  </si>
  <si>
    <t>CN của Cty TNHH EPE Packaing (VN) tại Vsip Hải Phòng</t>
  </si>
  <si>
    <t>Ms Hường</t>
  </si>
  <si>
    <t>Cty Cp Sản xuất, TM, DV IMC Việt Nam</t>
  </si>
  <si>
    <t>Mr Tiếp</t>
  </si>
  <si>
    <t>Công ty TNHH Hoya Glass Disk Việt Nam</t>
  </si>
  <si>
    <t>Nipponmechantronit</t>
  </si>
  <si>
    <t>Mai Anh</t>
  </si>
  <si>
    <t>Anbipha</t>
  </si>
  <si>
    <t>Tuấn</t>
  </si>
  <si>
    <t xml:space="preserve">CÔNG TY TNHH HAMAGASU </t>
  </si>
  <si>
    <t>Thanh</t>
  </si>
  <si>
    <t xml:space="preserve">CÔNG TY TNHH YOUNG FAST OPTOELECTRONICS </t>
  </si>
  <si>
    <t>Trường</t>
  </si>
  <si>
    <t>Công ty CP Bánh mứt kẹo Bảo Minh</t>
  </si>
  <si>
    <t>Công ty TNHH Thang máy - Kỹ thuật điện Hisa</t>
  </si>
  <si>
    <t>Mr Tuấn</t>
  </si>
  <si>
    <t>Công ty CP  Đất Việt</t>
  </si>
  <si>
    <t>Ms Thơ</t>
  </si>
  <si>
    <t>Công ty TNHH THT Thái Nguyên</t>
  </si>
  <si>
    <t>Công ty CP Tân Vạn Xuân</t>
  </si>
  <si>
    <t>Công ty CP Bao bì Công Minh</t>
  </si>
  <si>
    <t>Mr Tài</t>
  </si>
  <si>
    <t>Công ty CP  đầu tư Công nghệ ATT VN</t>
  </si>
  <si>
    <t>Ms Phương</t>
  </si>
  <si>
    <t>CÔNG TY TNHH PARKER PROCESSING VIỆT NAM</t>
  </si>
  <si>
    <t>Công ty TNHH Công nghiệp PP</t>
  </si>
  <si>
    <t>Công ty TNHH KAI VN</t>
  </si>
  <si>
    <t>Công ty TNHH Doo Jung</t>
  </si>
  <si>
    <t>Mr Thịnh</t>
  </si>
  <si>
    <t>Công ty TNHH MTV Chiếu sáng và Thiết bị đô thị</t>
  </si>
  <si>
    <t>Mr Hoàng</t>
  </si>
  <si>
    <t>Công ty CP Thép Thăng Long</t>
  </si>
  <si>
    <t>Ms Hương</t>
  </si>
  <si>
    <t>Công ty TNHH SIBV</t>
  </si>
  <si>
    <t>Ms Trang</t>
  </si>
  <si>
    <t>Công ty TNHH SWCC Showa</t>
  </si>
  <si>
    <t>Công ty TNHH Hệ thống truyền tải và phân phối Toshiba Việt Nam</t>
  </si>
  <si>
    <t>Công ty TNHH NCI Việt Nam</t>
  </si>
  <si>
    <t>Công ty CP Woodsland (Thuận hưng, Dương Nguyên, WL tuyên quang, Hà Giang)</t>
  </si>
  <si>
    <t>Công ty TNHH Elentec Việt Nam</t>
  </si>
  <si>
    <t>Mr Thiện</t>
  </si>
  <si>
    <t>Công ty TNHH Việt Nam Nippon Seiki</t>
  </si>
  <si>
    <t>Ms Yến</t>
  </si>
  <si>
    <t>Công ty TNHH Tajima Steel</t>
  </si>
  <si>
    <t>Ms Thanh</t>
  </si>
  <si>
    <t>Công ty TNHH Nippon Steel Pipe</t>
  </si>
  <si>
    <t>Mr Hiển</t>
  </si>
  <si>
    <t>Công ty TNHH Noda</t>
  </si>
  <si>
    <t>Ms Thủy</t>
  </si>
  <si>
    <t>Công ty TNHH điện tử Yantin</t>
  </si>
  <si>
    <t>Ms Chi</t>
  </si>
  <si>
    <t>Công ty CP thiết bị Việt Á</t>
  </si>
  <si>
    <t>Công ty TNHH Toyo Electric Control</t>
  </si>
  <si>
    <t>ms hà</t>
  </si>
  <si>
    <t>Công ty TNHH medlac</t>
  </si>
  <si>
    <t xml:space="preserve">Công ty TNHH Alpha </t>
  </si>
  <si>
    <t>Công ty Cổ phần Đại Bắc</t>
  </si>
  <si>
    <t>Ms Bùi</t>
  </si>
  <si>
    <t>Công ty TNHH điện tử lập Tín</t>
  </si>
  <si>
    <t>Công ty dịch vụ khu công nghiệp Hanel</t>
  </si>
  <si>
    <t>Công ty TNHH Công nghệ cao Hanel</t>
  </si>
  <si>
    <t>Công ty TNHH Nippon Konpo</t>
  </si>
  <si>
    <t>Công ty TNHH động cơ Zongshen Vn</t>
  </si>
  <si>
    <t>Công ty TNHH Asahi Denso</t>
  </si>
  <si>
    <t>Công ty TNHH Vina Oshoe</t>
  </si>
  <si>
    <t>Ms yến</t>
  </si>
  <si>
    <t>Công ty TNHH CMS Vina</t>
  </si>
  <si>
    <t>Ms Trọng</t>
  </si>
  <si>
    <t>Công ty TNHH Leakless</t>
  </si>
  <si>
    <t>Ms Thúy</t>
  </si>
  <si>
    <t>Công ty TNHH Denso Việt Nam</t>
  </si>
  <si>
    <t>Ms phượng</t>
  </si>
  <si>
    <t>Công ty TNHH Fujipla Engineering VN</t>
  </si>
  <si>
    <t>Ms Thơm</t>
  </si>
  <si>
    <t>Công ty TNHH Kwongming VN</t>
  </si>
  <si>
    <t>Ms dung</t>
  </si>
  <si>
    <t>Công ty Cp Sơn Alo</t>
  </si>
  <si>
    <t>Công ty Cp Hồng Lam</t>
  </si>
  <si>
    <t>Ms Loan</t>
  </si>
  <si>
    <t>Công ty TNHH Daiwa Plastics</t>
  </si>
  <si>
    <t>Mr Khôi</t>
  </si>
  <si>
    <t>Công ty TNHH thương mại LeeGroup</t>
  </si>
  <si>
    <t xml:space="preserve">Công ty TNHH sản phẩm công nghệ cao </t>
  </si>
  <si>
    <t>Ms Ngà</t>
  </si>
  <si>
    <t>Công ty TNHH Nippon Paint VN</t>
  </si>
  <si>
    <t>Công ty TNHH Nippon Paint Vĩnh Phúc</t>
  </si>
  <si>
    <t>Công ty TNHH Ogino Hà Nội</t>
  </si>
  <si>
    <t>Mr Quân</t>
  </si>
  <si>
    <t>Công ty TNHH Ogino Bắc Ninh</t>
  </si>
  <si>
    <t>Công ty TNHH thương mại Tuấn Bằng</t>
  </si>
  <si>
    <t>Mr Tuyên</t>
  </si>
  <si>
    <t>Công ty Cp sản xuất phát triển Mizen</t>
  </si>
  <si>
    <t>Công ty TNHH HOKYO PRECISION VIỆT NAM</t>
  </si>
  <si>
    <t>CÔNG TY CỔ PHẦN DƯỢC PHẨM CÔNG NGHỆ CAO ABIPHA</t>
  </si>
  <si>
    <t>Công ty TNHH Dinh dưỡng động vật EH Hà Tây</t>
  </si>
  <si>
    <t>CÔNG TY TNHH MỘT THÀNH VIÊN SẢN XUẤT VÀ THƯƠNG MẠI FUMO</t>
  </si>
  <si>
    <t>Mr Ngọc</t>
  </si>
  <si>
    <t>CÔNG TY TNHH KAMOGAWA VIỆT NAM</t>
  </si>
  <si>
    <t>Ms Quỳnh</t>
  </si>
  <si>
    <t>CÔNG TY TNHH NIPPON KOUATSU ELECTRIC VIỆT NAM</t>
  </si>
  <si>
    <t>Mr Thứ</t>
  </si>
  <si>
    <t>CÔNG TY TNHH LOGITEM VIỆT NAM</t>
  </si>
  <si>
    <t>Ms Lan Anh</t>
  </si>
  <si>
    <t>CÔNG TY TNHH PHONG NAM - SINHIROSE</t>
  </si>
  <si>
    <t>CÔNG TY TNHH SANOH VIỆT NAM</t>
  </si>
  <si>
    <t>Ms Lý</t>
  </si>
  <si>
    <t>CÔNG TY TNHH TAKARA TOOL &amp; DIE HÀ NỘI</t>
  </si>
  <si>
    <t>CÔNG TY TNHH Tamron Optical (Việt Nam)</t>
  </si>
  <si>
    <t>CÔNG TY TNHH UNIQUE TECHNO VINA</t>
  </si>
  <si>
    <t>CÔNG TY TNHH TOP D&amp;P VINA</t>
  </si>
  <si>
    <t>Ms Hậu</t>
  </si>
  <si>
    <t>CÔNG TY CỔ PHẦN TRÀNG AN</t>
  </si>
  <si>
    <t>CÔNG TY CỔ PHẦN XÀ PHÒNG HÀ NỘI</t>
  </si>
  <si>
    <t>Mr Đức</t>
  </si>
  <si>
    <t>CÔNG TY TNHH YASUFUKU VIỆT NAM</t>
  </si>
  <si>
    <t xml:space="preserve"> CÔNG TY TNHH ĐIỆN TỬ ASTI HÀ NỘI</t>
  </si>
  <si>
    <t>Nhân</t>
  </si>
  <si>
    <t>SỔ CẤP SỐ HỢP ĐỒNG</t>
  </si>
  <si>
    <t>TÊN LĨNH VỰC KHAI THÁC</t>
  </si>
  <si>
    <t>Môi trường lao động</t>
  </si>
  <si>
    <t>Người thực hiện</t>
  </si>
  <si>
    <t>Ngày tháng năm</t>
  </si>
  <si>
    <t>Tên đơn vị ký</t>
  </si>
  <si>
    <t>01/HĐHV</t>
  </si>
  <si>
    <t>Đào tạo khác</t>
  </si>
  <si>
    <t>Giấy phép môi trường</t>
  </si>
  <si>
    <t>Hoàng Vũ Trung</t>
  </si>
  <si>
    <t>Huấn luyện An toàn</t>
  </si>
  <si>
    <t>Kiểm định ATLĐ</t>
  </si>
  <si>
    <t>Quan Trắc Môi trường</t>
  </si>
  <si>
    <t>An Toàn lao động, MTLĐ</t>
  </si>
  <si>
    <t>Cấp GCN Đầu tư</t>
  </si>
  <si>
    <t>Tư vấn Giấy phép</t>
  </si>
  <si>
    <t>Tư vấn xây dựng</t>
  </si>
  <si>
    <t>Sự kiện, du lịch</t>
  </si>
  <si>
    <t>Vận hành thử nghiệm</t>
  </si>
  <si>
    <t>Dịch vụ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</si>
</sst>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[$ ₫]"/>
    <numFmt numFmtId="165" formatCode="#,##0\ [$đ-42A]"/>
    <numFmt numFmtId="166" formatCode="m/d/yy"/>
  </numFmts>
  <fonts count="50">
    <font>
      <sz val="10.0"/>
      <color rgb="FF000000"/>
      <name val="Arial"/>
    </font>
    <font>
      <b/>
      <sz val="31.0"/>
      <color rgb="FFFFFFFF"/>
      <name val="Roboto"/>
    </font>
    <font>
      <b/>
      <sz val="34.0"/>
      <color rgb="FFFFFFFF"/>
      <name val="Roboto"/>
    </font>
    <font/>
    <font>
      <b/>
      <color rgb="FF303F46"/>
      <name val="Roboto"/>
    </font>
    <font>
      <b/>
      <color rgb="FF888888"/>
      <name val="Roboto"/>
    </font>
    <font>
      <b/>
      <sz val="30.0"/>
      <color rgb="FF888888"/>
      <name val="Roboto"/>
    </font>
    <font>
      <name val="Roboto"/>
    </font>
    <font>
      <sz val="30.0"/>
      <name val="Roboto"/>
    </font>
    <font>
      <b/>
      <sz val="14.0"/>
      <color rgb="FF3D4DB7"/>
      <name val="Roboto"/>
    </font>
    <font>
      <sz val="9.0"/>
      <color rgb="FF3D4DB7"/>
      <name val="Roboto"/>
    </font>
    <font>
      <b/>
      <sz val="26.0"/>
      <color rgb="FF3D4DB7"/>
      <name val="Roboto"/>
    </font>
    <font>
      <b/>
      <sz val="18.0"/>
      <color rgb="FF3D4DB7"/>
      <name val="Roboto"/>
    </font>
    <font>
      <b/>
      <sz val="19.0"/>
      <color rgb="FF3D4DB7"/>
      <name val="Roboto"/>
    </font>
    <font>
      <b/>
      <sz val="21.0"/>
      <color rgb="FF3D4DB7"/>
      <name val="Roboto"/>
    </font>
    <font>
      <b/>
      <sz val="23.0"/>
      <color rgb="FFFFFFFF"/>
      <name val="Roboto"/>
    </font>
    <font>
      <b/>
      <sz val="17.0"/>
      <color rgb="FFFFFFFF"/>
      <name val="Roboto"/>
    </font>
    <font>
      <b/>
      <sz val="13.0"/>
      <color rgb="FFFFFFFF"/>
      <name val="Roboto"/>
    </font>
    <font>
      <sz val="9.0"/>
      <color rgb="FF2196F3"/>
      <name val="Roboto"/>
    </font>
    <font>
      <color rgb="FF2196F3"/>
      <name val="Roboto"/>
    </font>
    <font>
      <sz val="14.0"/>
      <color rgb="FF2E404D"/>
      <name val="Roboto"/>
    </font>
    <font>
      <sz val="14.0"/>
      <name val="Roboto"/>
    </font>
    <font>
      <b/>
      <sz val="14.0"/>
      <name val="Roboto"/>
    </font>
    <font>
      <sz val="18.0"/>
      <color rgb="FF2196F3"/>
      <name val="Roboto"/>
    </font>
    <font>
      <b/>
      <sz val="20.0"/>
      <color rgb="FF303F46"/>
      <name val="Roboto"/>
    </font>
    <font>
      <sz val="14.0"/>
    </font>
    <font>
      <b/>
      <sz val="15.0"/>
      <color rgb="FFFFFFFF"/>
      <name val="Roboto"/>
    </font>
    <font>
      <sz val="12.0"/>
      <name val="Roboto"/>
    </font>
    <font>
      <sz val="15.0"/>
      <color rgb="FF000000"/>
      <name val="Roboto"/>
    </font>
    <font>
      <sz val="15.0"/>
      <name val="Roboto"/>
    </font>
    <font>
      <sz val="15.0"/>
      <color rgb="FF2E404D"/>
      <name val="Roboto"/>
    </font>
    <font>
      <sz val="12.0"/>
      <color rgb="FF2196F3"/>
      <name val="Roboto"/>
    </font>
    <font>
      <sz val="15.0"/>
      <color rgb="FF2196F3"/>
      <name val="Roboto"/>
    </font>
    <font>
      <b/>
      <sz val="15.0"/>
      <color rgb="FF303F46"/>
      <name val="Roboto"/>
    </font>
    <font>
      <sz val="31.0"/>
      <color rgb="FFFFFFFF"/>
      <name val="Roboto"/>
    </font>
    <font>
      <b/>
      <color rgb="FFFFFFFF"/>
      <name val="Roboto"/>
    </font>
    <font>
      <sz val="14.0"/>
      <color rgb="FF303F46"/>
      <name val="Roboto"/>
    </font>
    <font>
      <b/>
      <sz val="11.0"/>
      <color rgb="FFFFFFFF"/>
      <name val="Roboto"/>
    </font>
    <font>
      <b/>
      <sz val="36.0"/>
      <color rgb="FFF3F3F3"/>
      <name val="Roboto"/>
    </font>
    <font>
      <sz val="15.0"/>
      <color rgb="FFFFFFFF"/>
      <name val="Roboto"/>
    </font>
    <font>
      <sz val="14.0"/>
      <color rgb="FF000000"/>
      <name val="Roboto"/>
    </font>
    <font>
      <sz val="12.0"/>
      <color rgb="FF000000"/>
      <name val="&quot;Times New Roman&quot;"/>
    </font>
    <font>
      <b/>
      <sz val="14.0"/>
      <color rgb="FF303F46"/>
      <name val="Roboto"/>
    </font>
    <font>
      <sz val="14.0"/>
      <color rgb="FF303F46"/>
      <name val="Arial"/>
    </font>
    <font>
      <sz val="14.0"/>
      <name val="Arial"/>
    </font>
    <font>
      <sz val="12.0"/>
      <name val="Calibri"/>
    </font>
    <font>
      <b/>
      <sz val="30.0"/>
      <color rgb="FF0B5394"/>
      <name val="Roboto"/>
    </font>
    <font>
      <b/>
      <sz val="12.0"/>
      <name val="Calibri"/>
    </font>
    <font>
      <color rgb="FFFFFFFF"/>
      <name val="Roboto"/>
    </font>
    <font>
      <color rgb="FF434343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3D4DB7"/>
        <bgColor rgb="FF3D4DB7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EFEFF1"/>
        <bgColor rgb="FFEFEFF1"/>
      </patternFill>
    </fill>
    <fill>
      <patternFill patternType="solid">
        <fgColor rgb="FF4A86E8"/>
        <bgColor rgb="FF4A86E8"/>
      </patternFill>
    </fill>
    <fill>
      <patternFill patternType="solid">
        <fgColor rgb="FF303F46"/>
        <bgColor rgb="FF303F46"/>
      </patternFill>
    </fill>
    <fill>
      <patternFill patternType="solid">
        <fgColor rgb="FF5B95F9"/>
        <bgColor rgb="FF5B95F9"/>
      </patternFill>
    </fill>
    <fill>
      <patternFill patternType="solid">
        <fgColor rgb="FFCFE2F3"/>
        <bgColor rgb="FFCFE2F3"/>
      </patternFill>
    </fill>
    <fill>
      <patternFill patternType="solid">
        <fgColor rgb="FFE8F0FE"/>
        <bgColor rgb="FFE8F0FE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</fills>
  <borders count="80">
    <border/>
    <border>
      <left style="thick">
        <color rgb="FFFF0000"/>
      </left>
      <top style="thick">
        <color rgb="FFFF0000"/>
      </top>
    </border>
    <border>
      <left style="double">
        <color rgb="FFFF0000"/>
      </left>
      <top style="double">
        <color rgb="FFFF0000"/>
      </top>
      <bottom style="double">
        <color rgb="FFFF0000"/>
      </bottom>
    </border>
    <border>
      <top style="double">
        <color rgb="FFFF0000"/>
      </top>
      <bottom style="double">
        <color rgb="FFFF0000"/>
      </bottom>
    </border>
    <border>
      <right style="double">
        <color rgb="FFFF0000"/>
      </right>
      <top style="double">
        <color rgb="FFFF0000"/>
      </top>
      <bottom style="double">
        <color rgb="FFFF0000"/>
      </bottom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top style="medium">
        <color rgb="FFFF0000"/>
      </top>
      <bottom style="thin">
        <color rgb="FFFF0000"/>
      </bottom>
    </border>
    <border>
      <top style="medium">
        <color rgb="FFFF0000"/>
      </top>
    </border>
    <border>
      <right style="thick">
        <color rgb="FFFF0000"/>
      </right>
      <top style="medium">
        <color rgb="FFFF0000"/>
      </top>
      <bottom style="medium">
        <color rgb="FFFF0000"/>
      </bottom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</border>
    <border>
      <left style="thin">
        <color rgb="FFFF0000"/>
      </left>
      <right style="double">
        <color rgb="FFFF0000"/>
      </right>
      <top style="double">
        <color rgb="FFFF0000"/>
      </top>
      <bottom style="double">
        <color rgb="FFFF0000"/>
      </bottom>
    </border>
    <border>
      <left style="double">
        <color rgb="FFFF0000"/>
      </left>
      <right style="thin">
        <color rgb="FFFF0000"/>
      </right>
      <bottom style="dotted">
        <color rgb="FFFF0000"/>
      </bottom>
    </border>
    <border>
      <left style="thin">
        <color rgb="FFFF0000"/>
      </left>
      <right style="thin">
        <color rgb="FFFF0000"/>
      </right>
      <bottom style="dotted">
        <color rgb="FFFF0000"/>
      </bottom>
    </border>
    <border>
      <left style="thin">
        <color rgb="FFFF0000"/>
      </left>
      <right style="double">
        <color rgb="FFFF0000"/>
      </right>
      <bottom style="dotted">
        <color rgb="FFFF0000"/>
      </bottom>
    </border>
    <border>
      <left style="double">
        <color rgb="FFFF0000"/>
      </left>
      <right style="thin">
        <color rgb="FFFF0000"/>
      </right>
      <top style="dotted">
        <color rgb="FFFF0000"/>
      </top>
      <bottom style="dotted">
        <color rgb="FFFF0000"/>
      </bottom>
    </border>
    <border>
      <left style="thin">
        <color rgb="FFFF0000"/>
      </left>
      <right style="thin">
        <color rgb="FFFF0000"/>
      </right>
      <top style="dotted">
        <color rgb="FFFF0000"/>
      </top>
      <bottom style="dotted">
        <color rgb="FFFF0000"/>
      </bottom>
    </border>
    <border>
      <left style="thin">
        <color rgb="FFFF0000"/>
      </left>
      <right style="double">
        <color rgb="FFFF0000"/>
      </right>
      <top style="dotted">
        <color rgb="FFFF0000"/>
      </top>
      <bottom style="dotted">
        <color rgb="FFFF0000"/>
      </bottom>
    </border>
    <border>
      <left style="double">
        <color rgb="FFFF0000"/>
      </left>
      <right style="thin">
        <color rgb="FFFF0000"/>
      </right>
      <top style="dotted">
        <color rgb="FFFF0000"/>
      </top>
      <bottom style="double">
        <color rgb="FFFF0000"/>
      </bottom>
    </border>
    <border>
      <left style="thin">
        <color rgb="FFFF0000"/>
      </left>
      <right style="thin">
        <color rgb="FFFF0000"/>
      </right>
      <top style="dotted">
        <color rgb="FFFF0000"/>
      </top>
      <bottom style="double">
        <color rgb="FFFF0000"/>
      </bottom>
    </border>
    <border>
      <left style="thin">
        <color rgb="FFFF0000"/>
      </left>
      <right style="double">
        <color rgb="FFFF0000"/>
      </right>
      <top style="dotted">
        <color rgb="FFFF0000"/>
      </top>
      <bottom style="double">
        <color rgb="FFFF0000"/>
      </bottom>
    </border>
    <border>
      <left style="double">
        <color rgb="FFFF0000"/>
      </left>
      <top style="double">
        <color rgb="FFFF0000"/>
      </top>
    </border>
    <border>
      <top style="double">
        <color rgb="FFFF0000"/>
      </top>
    </border>
    <border>
      <right style="double">
        <color rgb="FFFF0000"/>
      </right>
      <top style="double">
        <color rgb="FFFF0000"/>
      </top>
    </border>
    <border>
      <left style="double">
        <color rgb="FFFF0000"/>
      </left>
      <right style="thin">
        <color rgb="FFFF0000"/>
      </right>
      <bottom style="hair">
        <color rgb="FFFF0000"/>
      </bottom>
    </border>
    <border>
      <left style="thin">
        <color rgb="FFFF0000"/>
      </left>
      <right style="thin">
        <color rgb="FFFF0000"/>
      </right>
      <bottom style="hair">
        <color rgb="FFFF0000"/>
      </bottom>
    </border>
    <border>
      <left style="thin">
        <color rgb="FFFF0000"/>
      </left>
      <right style="double">
        <color rgb="FFFF0000"/>
      </right>
      <bottom style="hair">
        <color rgb="FFFF0000"/>
      </bottom>
    </border>
    <border>
      <left style="double">
        <color rgb="FFFF0000"/>
      </left>
    </border>
    <border>
      <right style="double">
        <color rgb="FFFF0000"/>
      </right>
    </border>
    <border>
      <left style="double">
        <color rgb="FFFF0000"/>
      </left>
      <right style="thin">
        <color rgb="FFFF0000"/>
      </right>
      <top style="hair">
        <color rgb="FFFF0000"/>
      </top>
      <bottom style="hair">
        <color rgb="FFFF0000"/>
      </bottom>
    </border>
    <border>
      <left style="thin">
        <color rgb="FFFF0000"/>
      </left>
      <right style="thin">
        <color rgb="FFFF0000"/>
      </right>
      <top style="hair">
        <color rgb="FFFF0000"/>
      </top>
      <bottom style="hair">
        <color rgb="FFFF0000"/>
      </bottom>
    </border>
    <border>
      <left style="thin">
        <color rgb="FFFF0000"/>
      </left>
      <right style="double">
        <color rgb="FFFF0000"/>
      </right>
      <top style="hair">
        <color rgb="FFFF0000"/>
      </top>
      <bottom style="hair">
        <color rgb="FFFF0000"/>
      </bottom>
    </border>
    <border>
      <left style="double">
        <color rgb="FFFF0000"/>
      </left>
      <bottom style="double">
        <color rgb="FFFF0000"/>
      </bottom>
    </border>
    <border>
      <bottom style="double">
        <color rgb="FFFF0000"/>
      </bottom>
    </border>
    <border>
      <right style="double">
        <color rgb="FFFF0000"/>
      </right>
      <bottom style="double">
        <color rgb="FFFF0000"/>
      </bottom>
    </border>
    <border>
      <left style="double">
        <color rgb="FFFF0000"/>
      </left>
      <right style="thin">
        <color rgb="FFFF0000"/>
      </right>
      <top style="hair">
        <color rgb="FFFF0000"/>
      </top>
    </border>
    <border>
      <left style="thin">
        <color rgb="FFFF0000"/>
      </left>
      <right style="thin">
        <color rgb="FFFF0000"/>
      </right>
      <top style="hair">
        <color rgb="FFFF0000"/>
      </top>
    </border>
    <border>
      <left style="thin">
        <color rgb="FFFF0000"/>
      </left>
      <right style="double">
        <color rgb="FFFF0000"/>
      </right>
      <top style="hair">
        <color rgb="FFFF0000"/>
      </top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double">
        <color rgb="FFFF0000"/>
      </left>
      <right style="thin">
        <color rgb="FFFF0000"/>
      </right>
      <top style="hair">
        <color rgb="FFFF0000"/>
      </top>
      <bottom style="double">
        <color rgb="FFFF0000"/>
      </bottom>
    </border>
    <border>
      <left style="thin">
        <color rgb="FFFF0000"/>
      </left>
      <right style="thin">
        <color rgb="FFFF0000"/>
      </right>
      <top style="hair">
        <color rgb="FFFF0000"/>
      </top>
      <bottom style="double">
        <color rgb="FFFF0000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double">
        <color rgb="FF3D4DB7"/>
      </left>
      <right style="thin">
        <color rgb="FFFF0000"/>
      </right>
      <top style="double">
        <color rgb="FF3D4DB7"/>
      </top>
      <bottom style="double">
        <color rgb="FF3D4DB7"/>
      </bottom>
    </border>
    <border>
      <left style="thin">
        <color rgb="FFFF0000"/>
      </left>
      <right style="thin">
        <color rgb="FFFF0000"/>
      </right>
      <top style="double">
        <color rgb="FF3D4DB7"/>
      </top>
      <bottom style="double">
        <color rgb="FF3D4DB7"/>
      </bottom>
    </border>
    <border>
      <left style="double">
        <color rgb="FFFF0000"/>
      </left>
      <right style="thin">
        <color rgb="FFFF0000"/>
      </right>
      <bottom style="dotted">
        <color rgb="FF3D4DB7"/>
      </bottom>
    </border>
    <border>
      <left style="thin">
        <color rgb="FFFF0000"/>
      </left>
      <right style="thin">
        <color rgb="FFFF0000"/>
      </right>
      <bottom style="dotted">
        <color rgb="FF3D4DB7"/>
      </bottom>
    </border>
    <border>
      <left style="double">
        <color rgb="FFFF0000"/>
      </left>
      <right style="thin">
        <color rgb="FFFF0000"/>
      </right>
      <top style="dotted">
        <color rgb="FF3D4DB7"/>
      </top>
      <bottom style="dotted">
        <color rgb="FF3D4DB7"/>
      </bottom>
    </border>
    <border>
      <left style="thin">
        <color rgb="FFFF0000"/>
      </left>
      <right style="thin">
        <color rgb="FFFF0000"/>
      </right>
      <top style="dotted">
        <color rgb="FF3D4DB7"/>
      </top>
      <bottom style="dotted">
        <color rgb="FF3D4DB7"/>
      </bottom>
    </border>
    <border>
      <left style="double">
        <color rgb="FFFF0000"/>
      </left>
      <right style="thin">
        <color rgb="FFFF0000"/>
      </right>
      <top style="dotted">
        <color rgb="FF3D4DB7"/>
      </top>
      <bottom style="double">
        <color rgb="FFFF0000"/>
      </bottom>
    </border>
    <border>
      <left style="thin">
        <color rgb="FFFF0000"/>
      </left>
      <right style="thin">
        <color rgb="FFFF0000"/>
      </right>
      <top style="dotted">
        <color rgb="FF3D4DB7"/>
      </top>
      <bottom style="double">
        <color rgb="FFFF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D9D9D9"/>
      </top>
    </border>
    <border>
      <left style="double">
        <color rgb="FFFF0000"/>
      </left>
      <right style="double">
        <color rgb="FFFF0000"/>
      </right>
    </border>
    <border>
      <left style="double">
        <color rgb="FFFF0000"/>
      </left>
      <right style="double">
        <color rgb="FFFF0000"/>
      </right>
      <top style="double">
        <color rgb="FFFF0000"/>
      </top>
    </border>
    <border>
      <left style="double">
        <color rgb="FF1155CC"/>
      </left>
      <right style="medium">
        <color rgb="FFFF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medium">
        <color rgb="FFFF0000"/>
      </left>
      <right style="medium">
        <color rgb="FFFF0000"/>
      </right>
      <top style="dotted">
        <color rgb="FF000000"/>
      </top>
      <bottom style="dotted">
        <color rgb="FF000000"/>
      </bottom>
    </border>
    <border>
      <left style="medium">
        <color rgb="FFFF0000"/>
      </left>
      <right style="double">
        <color rgb="FF1155CC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1155CC"/>
      </left>
      <right style="medium">
        <color rgb="FFFF0000"/>
      </right>
      <top style="dotted">
        <color rgb="FF000000"/>
      </top>
    </border>
    <border>
      <left style="double">
        <color rgb="FF1155CC"/>
      </left>
      <right style="medium">
        <color rgb="FFFF0000"/>
      </right>
      <top style="dotted">
        <color rgb="FF1155CC"/>
      </top>
      <bottom style="dotted">
        <color rgb="FF1155CC"/>
      </bottom>
    </border>
    <border>
      <left style="medium">
        <color rgb="FFFF0000"/>
      </left>
      <right style="medium">
        <color rgb="FFFF0000"/>
      </right>
      <top style="dotted">
        <color rgb="FF1155CC"/>
      </top>
      <bottom style="dotted">
        <color rgb="FF1155CC"/>
      </bottom>
    </border>
    <border>
      <left style="medium">
        <color rgb="FFFF0000"/>
      </left>
      <right style="medium">
        <color rgb="FFFF0000"/>
      </right>
      <top style="double">
        <color rgb="FF1155CC"/>
      </top>
      <bottom style="dotted">
        <color rgb="FF000000"/>
      </bottom>
    </border>
    <border>
      <left style="medium">
        <color rgb="FFFF0000"/>
      </left>
      <right style="double">
        <color rgb="FF1155CC"/>
      </right>
      <top style="dotted">
        <color rgb="FF1155CC"/>
      </top>
      <bottom style="dotted">
        <color rgb="FF1155CC"/>
      </bottom>
    </border>
    <border>
      <bottom style="thick">
        <color rgb="FF0B5394"/>
      </bottom>
    </border>
    <border>
      <left style="medium">
        <color rgb="FFFF0000"/>
      </left>
      <right style="thin">
        <color rgb="FFE06666"/>
      </right>
      <top style="medium">
        <color rgb="FFFF0000"/>
      </top>
      <bottom style="dotted">
        <color rgb="FFFF0000"/>
      </bottom>
    </border>
    <border>
      <left style="thin">
        <color rgb="FFE06666"/>
      </left>
      <right style="thin">
        <color rgb="FFE06666"/>
      </right>
      <top style="medium">
        <color rgb="FFFF0000"/>
      </top>
      <bottom style="dotted">
        <color rgb="FFFF0000"/>
      </bottom>
    </border>
    <border>
      <left style="thin">
        <color rgb="FFE06666"/>
      </left>
      <right style="medium">
        <color rgb="FFFF0000"/>
      </right>
      <top style="medium">
        <color rgb="FFFF0000"/>
      </top>
      <bottom style="dotted">
        <color rgb="FFFF0000"/>
      </bottom>
    </border>
    <border>
      <left style="medium">
        <color rgb="FFFF0000"/>
      </left>
      <right style="thin">
        <color rgb="FFE06666"/>
      </right>
      <top style="dotted">
        <color rgb="FFFF0000"/>
      </top>
      <bottom style="dotted">
        <color rgb="FFFF0000"/>
      </bottom>
    </border>
    <border>
      <left style="thin">
        <color rgb="FFE06666"/>
      </left>
      <right style="thin">
        <color rgb="FFE06666"/>
      </right>
      <top style="dotted">
        <color rgb="FFFF0000"/>
      </top>
      <bottom style="dotted">
        <color rgb="FFFF0000"/>
      </bottom>
    </border>
    <border>
      <left style="thin">
        <color rgb="FFE06666"/>
      </left>
      <right style="medium">
        <color rgb="FFFF0000"/>
      </right>
      <top style="dotted">
        <color rgb="FFFF0000"/>
      </top>
      <bottom style="dotted">
        <color rgb="FFFF0000"/>
      </bottom>
    </border>
    <border>
      <left style="medium">
        <color rgb="FFFF0000"/>
      </left>
      <right style="thin">
        <color rgb="FFE06666"/>
      </right>
      <top style="dotted">
        <color rgb="FFFF0000"/>
      </top>
      <bottom style="medium">
        <color rgb="FFFF0000"/>
      </bottom>
    </border>
    <border>
      <left style="thin">
        <color rgb="FFE06666"/>
      </left>
      <right style="thin">
        <color rgb="FFE06666"/>
      </right>
      <top style="dotted">
        <color rgb="FFFF0000"/>
      </top>
      <bottom style="medium">
        <color rgb="FFFF0000"/>
      </bottom>
    </border>
    <border>
      <left style="thin">
        <color rgb="FFE06666"/>
      </left>
      <right style="medium">
        <color rgb="FFFF0000"/>
      </right>
      <top style="dotted">
        <color rgb="FFFF0000"/>
      </top>
      <bottom style="medium">
        <color rgb="FFFF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3" fontId="4" numFmtId="0" xfId="0" applyAlignment="1" applyBorder="1" applyFill="1" applyFont="1">
      <alignment horizontal="left" readingOrder="0" shrinkToFit="0" vertical="center" wrapText="0"/>
    </xf>
    <xf borderId="0" fillId="3" fontId="5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3" fontId="7" numFmtId="0" xfId="0" applyAlignment="1" applyFont="1">
      <alignment horizontal="left"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6" fillId="0" fontId="7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horizontal="center" readingOrder="0" shrinkToFit="0" vertical="bottom" wrapText="0"/>
    </xf>
    <xf borderId="0" fillId="3" fontId="9" numFmtId="0" xfId="0" applyAlignment="1" applyFont="1">
      <alignment horizontal="center" readingOrder="0" shrinkToFit="0" vertical="bottom" wrapText="0"/>
    </xf>
    <xf borderId="0" fillId="3" fontId="10" numFmtId="0" xfId="0" applyAlignment="1" applyFont="1">
      <alignment horizontal="left" readingOrder="0" shrinkToFit="0" vertical="bottom" wrapText="0"/>
    </xf>
    <xf borderId="7" fillId="3" fontId="11" numFmtId="164" xfId="0" applyAlignment="1" applyBorder="1" applyFont="1" applyNumberFormat="1">
      <alignment horizontal="center" readingOrder="0" shrinkToFit="0" vertical="center" wrapText="0"/>
    </xf>
    <xf borderId="8" fillId="0" fontId="3" numFmtId="0" xfId="0" applyBorder="1" applyFont="1"/>
    <xf borderId="9" fillId="3" fontId="12" numFmtId="0" xfId="0" applyAlignment="1" applyBorder="1" applyFont="1">
      <alignment horizontal="right" readingOrder="0" shrinkToFit="0" vertical="center" wrapText="0"/>
    </xf>
    <xf borderId="9" fillId="0" fontId="3" numFmtId="0" xfId="0" applyBorder="1" applyFont="1"/>
    <xf borderId="10" fillId="3" fontId="13" numFmtId="0" xfId="0" applyAlignment="1" applyBorder="1" applyFont="1">
      <alignment horizontal="center" readingOrder="0" shrinkToFit="0" vertical="center" wrapText="0"/>
    </xf>
    <xf borderId="11" fillId="3" fontId="14" numFmtId="0" xfId="0" applyAlignment="1" applyBorder="1" applyFont="1">
      <alignment horizontal="center" readingOrder="0" shrinkToFit="0" vertical="center" wrapText="0"/>
    </xf>
    <xf borderId="2" fillId="4" fontId="15" numFmtId="0" xfId="0" applyAlignment="1" applyBorder="1" applyFill="1" applyFont="1">
      <alignment horizontal="center" readingOrder="0" shrinkToFit="0" vertical="center" wrapText="0"/>
    </xf>
    <xf borderId="5" fillId="5" fontId="7" numFmtId="0" xfId="0" applyAlignment="1" applyBorder="1" applyFill="1" applyFont="1">
      <alignment shrinkToFit="0" wrapText="0"/>
    </xf>
    <xf borderId="0" fillId="5" fontId="7" numFmtId="0" xfId="0" applyAlignment="1" applyFont="1">
      <alignment shrinkToFit="0" wrapText="0"/>
    </xf>
    <xf borderId="0" fillId="5" fontId="7" numFmtId="0" xfId="0" applyAlignment="1" applyFont="1">
      <alignment shrinkToFit="0" vertical="center" wrapText="0"/>
    </xf>
    <xf borderId="0" fillId="5" fontId="8" numFmtId="0" xfId="0" applyAlignment="1" applyFont="1">
      <alignment shrinkToFit="0" wrapText="0"/>
    </xf>
    <xf borderId="0" fillId="5" fontId="3" numFmtId="0" xfId="0" applyFont="1"/>
    <xf borderId="12" fillId="6" fontId="16" numFmtId="0" xfId="0" applyAlignment="1" applyBorder="1" applyFill="1" applyFont="1">
      <alignment horizontal="center" shrinkToFit="0" vertical="center" wrapText="0"/>
    </xf>
    <xf borderId="13" fillId="6" fontId="17" numFmtId="0" xfId="0" applyAlignment="1" applyBorder="1" applyFont="1">
      <alignment horizontal="center" readingOrder="0" shrinkToFit="0" vertical="center" wrapText="1"/>
    </xf>
    <xf borderId="14" fillId="6" fontId="17" numFmtId="0" xfId="0" applyAlignment="1" applyBorder="1" applyFont="1">
      <alignment horizontal="center" readingOrder="0" shrinkToFit="0" vertical="center" wrapText="0"/>
    </xf>
    <xf borderId="5" fillId="5" fontId="18" numFmtId="0" xfId="0" applyAlignment="1" applyBorder="1" applyFont="1">
      <alignment horizontal="left" readingOrder="0" shrinkToFit="0" vertical="center" wrapText="0"/>
    </xf>
    <xf borderId="0" fillId="5" fontId="19" numFmtId="0" xfId="0" applyAlignment="1" applyFont="1">
      <alignment horizontal="left" shrinkToFit="0" vertical="center" wrapText="0"/>
    </xf>
    <xf borderId="15" fillId="5" fontId="20" numFmtId="0" xfId="0" applyAlignment="1" applyBorder="1" applyFont="1">
      <alignment horizontal="left" readingOrder="0" shrinkToFit="0" vertical="center" wrapText="0"/>
    </xf>
    <xf borderId="16" fillId="5" fontId="21" numFmtId="0" xfId="0" applyAlignment="1" applyBorder="1" applyFont="1">
      <alignment horizontal="center" shrinkToFit="0" vertical="center" wrapText="0"/>
    </xf>
    <xf borderId="17" fillId="5" fontId="22" numFmtId="165" xfId="0" applyAlignment="1" applyBorder="1" applyFont="1" applyNumberFormat="1">
      <alignment horizontal="center" readingOrder="0" shrinkToFit="0" vertical="center" wrapText="0"/>
    </xf>
    <xf borderId="5" fillId="5" fontId="23" numFmtId="0" xfId="0" applyAlignment="1" applyBorder="1" applyFont="1">
      <alignment horizontal="right" readingOrder="0" shrinkToFit="0" vertical="center" wrapText="0"/>
    </xf>
    <xf borderId="0" fillId="5" fontId="24" numFmtId="0" xfId="0" applyAlignment="1" applyFont="1">
      <alignment horizontal="left" readingOrder="0" shrinkToFit="0" vertical="center" wrapText="0"/>
    </xf>
    <xf borderId="18" fillId="5" fontId="20" numFmtId="0" xfId="0" applyAlignment="1" applyBorder="1" applyFont="1">
      <alignment horizontal="left" readingOrder="0" shrinkToFit="0" vertical="center" wrapText="0"/>
    </xf>
    <xf borderId="19" fillId="5" fontId="21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0" fillId="5" fontId="5" numFmtId="0" xfId="0" applyAlignment="1" applyFont="1">
      <alignment shrinkToFit="0" vertical="center" wrapText="0"/>
    </xf>
    <xf borderId="20" fillId="5" fontId="22" numFmtId="165" xfId="0" applyAlignment="1" applyBorder="1" applyFont="1" applyNumberFormat="1">
      <alignment horizontal="center" readingOrder="0" shrinkToFit="0" vertical="center" wrapText="0"/>
    </xf>
    <xf borderId="19" fillId="5" fontId="21" numFmtId="0" xfId="0" applyAlignment="1" applyBorder="1" applyFont="1">
      <alignment horizontal="center" readingOrder="0" shrinkToFit="0" vertical="center" wrapText="0"/>
    </xf>
    <xf borderId="21" fillId="5" fontId="25" numFmtId="0" xfId="0" applyAlignment="1" applyBorder="1" applyFont="1">
      <alignment horizontal="left" readingOrder="0" vertical="center"/>
    </xf>
    <xf borderId="22" fillId="5" fontId="21" numFmtId="0" xfId="0" applyAlignment="1" applyBorder="1" applyFont="1">
      <alignment horizontal="center" shrinkToFit="0" vertical="center" wrapText="0"/>
    </xf>
    <xf borderId="23" fillId="5" fontId="21" numFmtId="165" xfId="0" applyAlignment="1" applyBorder="1" applyFont="1" applyNumberFormat="1">
      <alignment horizontal="center" shrinkToFit="0" vertical="center" wrapText="0"/>
    </xf>
    <xf borderId="12" fillId="6" fontId="26" numFmtId="0" xfId="0" applyAlignment="1" applyBorder="1" applyFont="1">
      <alignment horizontal="left" vertical="center"/>
    </xf>
    <xf borderId="13" fillId="6" fontId="26" numFmtId="0" xfId="0" applyAlignment="1" applyBorder="1" applyFont="1">
      <alignment horizontal="center" shrinkToFit="0" vertical="center" wrapText="0"/>
    </xf>
    <xf borderId="14" fillId="6" fontId="26" numFmtId="0" xfId="0" applyAlignment="1" applyBorder="1" applyFont="1">
      <alignment horizontal="center" readingOrder="0" shrinkToFit="0" vertical="center" wrapText="0"/>
    </xf>
    <xf borderId="5" fillId="5" fontId="27" numFmtId="0" xfId="0" applyAlignment="1" applyBorder="1" applyFont="1">
      <alignment shrinkToFit="0" wrapText="0"/>
    </xf>
    <xf borderId="24" fillId="3" fontId="28" numFmtId="0" xfId="0" applyAlignment="1" applyBorder="1" applyFont="1">
      <alignment horizontal="center"/>
    </xf>
    <xf borderId="25" fillId="5" fontId="29" numFmtId="0" xfId="0" applyAlignment="1" applyBorder="1" applyFont="1">
      <alignment horizontal="center" shrinkToFit="0" vertical="center" wrapText="0"/>
    </xf>
    <xf borderId="26" fillId="5" fontId="8" numFmtId="0" xfId="0" applyAlignment="1" applyBorder="1" applyFont="1">
      <alignment shrinkToFit="0" wrapText="0"/>
    </xf>
    <xf borderId="27" fillId="5" fontId="29" numFmtId="0" xfId="0" applyAlignment="1" applyBorder="1" applyFont="1">
      <alignment horizontal="left" shrinkToFit="0" vertical="center" wrapText="0"/>
    </xf>
    <xf borderId="28" fillId="5" fontId="29" numFmtId="0" xfId="0" applyAlignment="1" applyBorder="1" applyFont="1">
      <alignment horizontal="center" shrinkToFit="0" vertical="center" wrapText="0"/>
    </xf>
    <xf borderId="29" fillId="5" fontId="29" numFmtId="0" xfId="0" applyAlignment="1" applyBorder="1" applyFont="1">
      <alignment horizontal="center" readingOrder="0" shrinkToFit="0" vertical="center" wrapText="0"/>
    </xf>
    <xf borderId="30" fillId="5" fontId="29" numFmtId="0" xfId="0" applyAlignment="1" applyBorder="1" applyFont="1">
      <alignment horizontal="center" shrinkToFit="0" wrapText="0"/>
    </xf>
    <xf borderId="0" fillId="5" fontId="29" numFmtId="0" xfId="0" applyAlignment="1" applyFont="1">
      <alignment horizontal="center" shrinkToFit="0" vertical="center" wrapText="0"/>
    </xf>
    <xf borderId="31" fillId="5" fontId="8" numFmtId="0" xfId="0" applyAlignment="1" applyBorder="1" applyFont="1">
      <alignment shrinkToFit="0" wrapText="0"/>
    </xf>
    <xf borderId="32" fillId="5" fontId="30" numFmtId="0" xfId="0" applyAlignment="1" applyBorder="1" applyFont="1">
      <alignment horizontal="left" shrinkToFit="0" vertical="center" wrapText="0"/>
    </xf>
    <xf borderId="33" fillId="5" fontId="30" numFmtId="0" xfId="0" applyAlignment="1" applyBorder="1" applyFont="1">
      <alignment horizontal="center" readingOrder="0" shrinkToFit="0" vertical="center" wrapText="0"/>
    </xf>
    <xf borderId="34" fillId="5" fontId="29" numFmtId="0" xfId="0" applyAlignment="1" applyBorder="1" applyFont="1">
      <alignment horizontal="center" readingOrder="0" shrinkToFit="0" vertical="center" wrapText="0"/>
    </xf>
    <xf borderId="5" fillId="5" fontId="31" numFmtId="0" xfId="0" applyAlignment="1" applyBorder="1" applyFont="1">
      <alignment horizontal="left" readingOrder="0" shrinkToFit="0" vertical="center" wrapText="0"/>
    </xf>
    <xf borderId="30" fillId="5" fontId="32" numFmtId="0" xfId="0" applyAlignment="1" applyBorder="1" applyFont="1">
      <alignment horizontal="center" shrinkToFit="0" vertical="center" wrapText="0"/>
    </xf>
    <xf borderId="5" fillId="5" fontId="31" numFmtId="0" xfId="0" applyAlignment="1" applyBorder="1" applyFont="1">
      <alignment horizontal="right" readingOrder="0" shrinkToFit="0" vertical="center" wrapText="0"/>
    </xf>
    <xf borderId="30" fillId="5" fontId="33" numFmtId="0" xfId="0" applyAlignment="1" applyBorder="1" applyFont="1">
      <alignment horizontal="center" readingOrder="0" shrinkToFit="0" vertical="center" wrapText="0"/>
    </xf>
    <xf borderId="35" fillId="5" fontId="33" numFmtId="0" xfId="0" applyAlignment="1" applyBorder="1" applyFont="1">
      <alignment horizontal="center" readingOrder="0" shrinkToFit="0" vertical="center" wrapText="0"/>
    </xf>
    <xf borderId="36" fillId="5" fontId="29" numFmtId="0" xfId="0" applyAlignment="1" applyBorder="1" applyFont="1">
      <alignment horizontal="center" shrinkToFit="0" vertical="center" wrapText="0"/>
    </xf>
    <xf borderId="37" fillId="5" fontId="8" numFmtId="0" xfId="0" applyAlignment="1" applyBorder="1" applyFont="1">
      <alignment shrinkToFit="0" wrapText="0"/>
    </xf>
    <xf borderId="38" fillId="5" fontId="30" numFmtId="0" xfId="0" applyAlignment="1" applyBorder="1" applyFont="1">
      <alignment horizontal="left" shrinkToFit="0" vertical="center" wrapText="0"/>
    </xf>
    <xf borderId="39" fillId="5" fontId="30" numFmtId="0" xfId="0" applyAlignment="1" applyBorder="1" applyFont="1">
      <alignment horizontal="center" readingOrder="0" shrinkToFit="0" vertical="center" wrapText="0"/>
    </xf>
    <xf borderId="40" fillId="5" fontId="29" numFmtId="0" xfId="0" applyAlignment="1" applyBorder="1" applyFont="1">
      <alignment horizontal="center" readingOrder="0" shrinkToFit="0" vertical="center" wrapText="0"/>
    </xf>
    <xf borderId="41" fillId="5" fontId="23" numFmtId="0" xfId="0" applyAlignment="1" applyBorder="1" applyFont="1">
      <alignment horizontal="right" readingOrder="0" shrinkToFit="0" vertical="center" wrapText="0"/>
    </xf>
    <xf borderId="42" fillId="0" fontId="3" numFmtId="0" xfId="0" applyBorder="1" applyFont="1"/>
    <xf borderId="42" fillId="5" fontId="7" numFmtId="0" xfId="0" applyAlignment="1" applyBorder="1" applyFont="1">
      <alignment shrinkToFit="0" vertical="center" wrapText="0"/>
    </xf>
    <xf borderId="42" fillId="5" fontId="8" numFmtId="0" xfId="0" applyAlignment="1" applyBorder="1" applyFont="1">
      <alignment shrinkToFit="0" wrapText="0"/>
    </xf>
    <xf borderId="42" fillId="5" fontId="7" numFmtId="0" xfId="0" applyAlignment="1" applyBorder="1" applyFont="1">
      <alignment shrinkToFit="0" wrapText="0"/>
    </xf>
    <xf borderId="43" fillId="5" fontId="30" numFmtId="0" xfId="0" applyAlignment="1" applyBorder="1" applyFont="1">
      <alignment horizontal="left" shrinkToFit="0" vertical="center" wrapText="0"/>
    </xf>
    <xf borderId="44" fillId="5" fontId="30" numFmtId="0" xfId="0" applyAlignment="1" applyBorder="1" applyFont="1">
      <alignment horizontal="center" readingOrder="0" shrinkToFit="0" vertical="center" wrapText="0"/>
    </xf>
    <xf borderId="0" fillId="5" fontId="23" numFmtId="0" xfId="0" applyAlignment="1" applyFont="1">
      <alignment horizontal="right" readingOrder="0" shrinkToFit="0" vertical="center" wrapText="0"/>
    </xf>
    <xf borderId="0" fillId="5" fontId="30" numFmtId="0" xfId="0" applyAlignment="1" applyFont="1">
      <alignment horizontal="left" shrinkToFit="0" vertical="center" wrapText="0"/>
    </xf>
    <xf borderId="0" fillId="5" fontId="30" numFmtId="0" xfId="0" applyAlignment="1" applyFont="1">
      <alignment horizontal="center" readingOrder="0" shrinkToFit="0" vertical="center" wrapText="0"/>
    </xf>
    <xf borderId="0" fillId="5" fontId="29" numFmtId="0" xfId="0" applyAlignment="1" applyFont="1">
      <alignment horizontal="left" readingOrder="0" shrinkToFit="0" vertical="center" wrapText="0"/>
    </xf>
    <xf borderId="45" fillId="7" fontId="34" numFmtId="0" xfId="0" applyAlignment="1" applyBorder="1" applyFill="1" applyFont="1">
      <alignment horizontal="center" readingOrder="0" vertical="center"/>
    </xf>
    <xf borderId="45" fillId="0" fontId="3" numFmtId="0" xfId="0" applyBorder="1" applyFont="1"/>
    <xf borderId="46" fillId="0" fontId="3" numFmtId="0" xfId="0" applyBorder="1" applyFont="1"/>
    <xf borderId="47" fillId="2" fontId="35" numFmtId="0" xfId="0" applyAlignment="1" applyBorder="1" applyFont="1">
      <alignment horizontal="center" readingOrder="0" vertical="center"/>
    </xf>
    <xf borderId="48" fillId="2" fontId="35" numFmtId="0" xfId="0" applyAlignment="1" applyBorder="1" applyFont="1">
      <alignment horizontal="center" readingOrder="0" vertical="center"/>
    </xf>
    <xf borderId="49" fillId="3" fontId="36" numFmtId="0" xfId="0" applyAlignment="1" applyBorder="1" applyFont="1">
      <alignment horizontal="left" readingOrder="0" vertical="center"/>
    </xf>
    <xf borderId="50" fillId="3" fontId="36" numFmtId="0" xfId="0" applyAlignment="1" applyBorder="1" applyFont="1">
      <alignment horizontal="left" readingOrder="0" vertical="center"/>
    </xf>
    <xf borderId="51" fillId="3" fontId="36" numFmtId="0" xfId="0" applyAlignment="1" applyBorder="1" applyFont="1">
      <alignment horizontal="left" readingOrder="0" vertical="center"/>
    </xf>
    <xf borderId="52" fillId="3" fontId="36" numFmtId="0" xfId="0" applyAlignment="1" applyBorder="1" applyFont="1">
      <alignment horizontal="left" readingOrder="0" vertical="center"/>
    </xf>
    <xf borderId="51" fillId="3" fontId="36" numFmtId="0" xfId="0" applyAlignment="1" applyBorder="1" applyFont="1">
      <alignment horizontal="left" vertical="center"/>
    </xf>
    <xf borderId="53" fillId="3" fontId="36" numFmtId="0" xfId="0" applyAlignment="1" applyBorder="1" applyFont="1">
      <alignment horizontal="left" vertical="center"/>
    </xf>
    <xf borderId="54" fillId="3" fontId="36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/>
    </xf>
    <xf borderId="0" fillId="0" fontId="7" numFmtId="0" xfId="0" applyFont="1"/>
    <xf borderId="55" fillId="0" fontId="37" numFmtId="0" xfId="0" applyAlignment="1" applyBorder="1" applyFont="1">
      <alignment readingOrder="0" vertical="center"/>
    </xf>
    <xf borderId="56" fillId="2" fontId="38" numFmtId="49" xfId="0" applyAlignment="1" applyBorder="1" applyFont="1" applyNumberFormat="1">
      <alignment horizontal="left" readingOrder="0" shrinkToFit="0" vertical="center" wrapText="1"/>
    </xf>
    <xf borderId="56" fillId="0" fontId="3" numFmtId="0" xfId="0" applyBorder="1" applyFont="1"/>
    <xf borderId="55" fillId="0" fontId="37" numFmtId="0" xfId="0" applyAlignment="1" applyBorder="1" applyFont="1">
      <alignment readingOrder="0"/>
    </xf>
    <xf borderId="57" fillId="8" fontId="26" numFmtId="0" xfId="0" applyAlignment="1" applyBorder="1" applyFill="1" applyFont="1">
      <alignment horizontal="center" readingOrder="0" vertical="center"/>
    </xf>
    <xf borderId="57" fillId="8" fontId="39" numFmtId="0" xfId="0" applyAlignment="1" applyBorder="1" applyFont="1">
      <alignment horizontal="center" readingOrder="0" vertical="center"/>
    </xf>
    <xf borderId="58" fillId="8" fontId="39" numFmtId="49" xfId="0" applyAlignment="1" applyBorder="1" applyFont="1" applyNumberFormat="1">
      <alignment horizontal="center" readingOrder="0" vertical="center"/>
    </xf>
    <xf borderId="58" fillId="8" fontId="39" numFmtId="0" xfId="0" applyAlignment="1" applyBorder="1" applyFont="1">
      <alignment horizontal="center" readingOrder="0" shrinkToFit="0" vertical="center" wrapText="1"/>
    </xf>
    <xf borderId="24" fillId="8" fontId="39" numFmtId="0" xfId="0" applyAlignment="1" applyBorder="1" applyFont="1">
      <alignment horizontal="center" readingOrder="0" vertical="center"/>
    </xf>
    <xf borderId="25" fillId="8" fontId="3" numFmtId="0" xfId="0" applyBorder="1" applyFont="1"/>
    <xf borderId="26" fillId="8" fontId="3" numFmtId="0" xfId="0" applyBorder="1" applyFont="1"/>
    <xf borderId="58" fillId="8" fontId="26" numFmtId="0" xfId="0" applyAlignment="1" applyBorder="1" applyFont="1">
      <alignment horizontal="center" readingOrder="0" vertical="center"/>
    </xf>
    <xf borderId="59" fillId="9" fontId="21" numFmtId="0" xfId="0" applyAlignment="1" applyBorder="1" applyFill="1" applyFont="1">
      <alignment horizontal="center" readingOrder="0" textRotation="0" vertical="center"/>
    </xf>
    <xf borderId="60" fillId="9" fontId="40" numFmtId="0" xfId="0" applyAlignment="1" applyBorder="1" applyFont="1">
      <alignment horizontal="left" readingOrder="0" vertical="center"/>
    </xf>
    <xf borderId="61" fillId="9" fontId="21" numFmtId="0" xfId="0" applyAlignment="1" applyBorder="1" applyFont="1">
      <alignment horizontal="left" readingOrder="0" shrinkToFit="0" vertical="center" wrapText="0"/>
    </xf>
    <xf borderId="60" fillId="9" fontId="40" numFmtId="49" xfId="0" applyAlignment="1" applyBorder="1" applyFont="1" applyNumberFormat="1">
      <alignment horizontal="center" readingOrder="0" vertical="center"/>
    </xf>
    <xf borderId="62" fillId="9" fontId="21" numFmtId="0" xfId="0" applyAlignment="1" applyBorder="1" applyFont="1">
      <alignment horizontal="left" readingOrder="0" vertical="center"/>
    </xf>
    <xf borderId="59" fillId="10" fontId="21" numFmtId="0" xfId="0" applyAlignment="1" applyBorder="1" applyFill="1" applyFont="1">
      <alignment horizontal="center" readingOrder="0" textRotation="0" vertical="center"/>
    </xf>
    <xf borderId="60" fillId="10" fontId="40" numFmtId="0" xfId="0" applyAlignment="1" applyBorder="1" applyFont="1">
      <alignment horizontal="left" readingOrder="0" vertical="center"/>
    </xf>
    <xf borderId="61" fillId="10" fontId="21" numFmtId="0" xfId="0" applyAlignment="1" applyBorder="1" applyFont="1">
      <alignment horizontal="left" readingOrder="0" shrinkToFit="0" vertical="center" wrapText="0"/>
    </xf>
    <xf borderId="60" fillId="10" fontId="40" numFmtId="49" xfId="0" applyAlignment="1" applyBorder="1" applyFont="1" applyNumberFormat="1">
      <alignment horizontal="center" readingOrder="0" vertical="center"/>
    </xf>
    <xf borderId="62" fillId="10" fontId="21" numFmtId="0" xfId="0" applyAlignment="1" applyBorder="1" applyFont="1">
      <alignment horizontal="left" readingOrder="0" vertical="center"/>
    </xf>
    <xf borderId="60" fillId="3" fontId="40" numFmtId="0" xfId="0" applyAlignment="1" applyBorder="1" applyFont="1">
      <alignment horizontal="left" readingOrder="0" vertical="center"/>
    </xf>
    <xf borderId="60" fillId="9" fontId="21" numFmtId="0" xfId="0" applyAlignment="1" applyBorder="1" applyFont="1">
      <alignment horizontal="left" readingOrder="0" vertical="center"/>
    </xf>
    <xf borderId="60" fillId="9" fontId="21" numFmtId="49" xfId="0" applyAlignment="1" applyBorder="1" applyFont="1" applyNumberFormat="1">
      <alignment horizontal="center" readingOrder="0" vertical="center"/>
    </xf>
    <xf borderId="60" fillId="10" fontId="21" numFmtId="0" xfId="0" applyAlignment="1" applyBorder="1" applyFont="1">
      <alignment horizontal="left" readingOrder="0" vertical="center"/>
    </xf>
    <xf borderId="60" fillId="10" fontId="21" numFmtId="49" xfId="0" applyAlignment="1" applyBorder="1" applyFont="1" applyNumberFormat="1">
      <alignment horizontal="center" readingOrder="0" vertical="center"/>
    </xf>
    <xf borderId="60" fillId="10" fontId="21" numFmtId="49" xfId="0" applyAlignment="1" applyBorder="1" applyFont="1" applyNumberFormat="1">
      <alignment horizontal="center" vertical="center"/>
    </xf>
    <xf borderId="60" fillId="3" fontId="21" numFmtId="0" xfId="0" applyAlignment="1" applyBorder="1" applyFont="1">
      <alignment horizontal="left" readingOrder="0" vertical="center"/>
    </xf>
    <xf borderId="60" fillId="10" fontId="21" numFmtId="0" xfId="0" applyAlignment="1" applyBorder="1" applyFont="1">
      <alignment readingOrder="0" shrinkToFit="0" vertical="center" wrapText="0"/>
    </xf>
    <xf borderId="60" fillId="9" fontId="21" numFmtId="0" xfId="0" applyAlignment="1" applyBorder="1" applyFont="1">
      <alignment readingOrder="0" shrinkToFit="0" vertical="center" wrapText="0"/>
    </xf>
    <xf borderId="60" fillId="10" fontId="21" numFmtId="0" xfId="0" applyAlignment="1" applyBorder="1" applyFont="1">
      <alignment horizontal="left" readingOrder="0" shrinkToFit="0" vertical="center" wrapText="0"/>
    </xf>
    <xf borderId="60" fillId="10" fontId="21" numFmtId="49" xfId="0" applyAlignment="1" applyBorder="1" applyFont="1" applyNumberFormat="1">
      <alignment horizontal="center" readingOrder="0" shrinkToFit="0" vertical="center" wrapText="0"/>
    </xf>
    <xf borderId="63" fillId="9" fontId="21" numFmtId="0" xfId="0" applyAlignment="1" applyBorder="1" applyFont="1">
      <alignment horizontal="left" readingOrder="0" vertical="center"/>
    </xf>
    <xf borderId="63" fillId="9" fontId="21" numFmtId="49" xfId="0" applyAlignment="1" applyBorder="1" applyFont="1" applyNumberFormat="1">
      <alignment horizontal="center" readingOrder="0" vertical="center"/>
    </xf>
    <xf borderId="61" fillId="10" fontId="21" numFmtId="0" xfId="0" applyAlignment="1" applyBorder="1" applyFont="1">
      <alignment horizontal="left" readingOrder="0" vertical="center"/>
    </xf>
    <xf borderId="61" fillId="10" fontId="21" numFmtId="49" xfId="0" applyAlignment="1" applyBorder="1" applyFont="1" applyNumberFormat="1">
      <alignment horizontal="center" readingOrder="0" vertical="center"/>
    </xf>
    <xf borderId="61" fillId="9" fontId="21" numFmtId="0" xfId="0" applyAlignment="1" applyBorder="1" applyFont="1">
      <alignment horizontal="left" readingOrder="0" vertical="center"/>
    </xf>
    <xf borderId="61" fillId="9" fontId="21" numFmtId="49" xfId="0" applyAlignment="1" applyBorder="1" applyFont="1" applyNumberFormat="1">
      <alignment horizontal="center" readingOrder="0" vertical="center"/>
    </xf>
    <xf borderId="64" fillId="10" fontId="41" numFmtId="0" xfId="0" applyAlignment="1" applyBorder="1" applyFont="1">
      <alignment horizontal="left" readingOrder="0"/>
    </xf>
    <xf borderId="64" fillId="10" fontId="41" numFmtId="49" xfId="0" applyAlignment="1" applyBorder="1" applyFont="1" applyNumberFormat="1">
      <alignment horizontal="center" readingOrder="0"/>
    </xf>
    <xf borderId="64" fillId="9" fontId="41" numFmtId="0" xfId="0" applyAlignment="1" applyBorder="1" applyFont="1">
      <alignment horizontal="left" readingOrder="0"/>
    </xf>
    <xf borderId="64" fillId="9" fontId="41" numFmtId="49" xfId="0" applyAlignment="1" applyBorder="1" applyFont="1" applyNumberFormat="1">
      <alignment horizontal="center" readingOrder="0"/>
    </xf>
    <xf borderId="64" fillId="9" fontId="40" numFmtId="49" xfId="0" applyAlignment="1" applyBorder="1" applyFont="1" applyNumberFormat="1">
      <alignment horizontal="center" readingOrder="0"/>
    </xf>
    <xf borderId="64" fillId="10" fontId="40" numFmtId="0" xfId="0" applyAlignment="1" applyBorder="1" applyFont="1">
      <alignment horizontal="left" readingOrder="0"/>
    </xf>
    <xf borderId="64" fillId="9" fontId="40" numFmtId="0" xfId="0" applyAlignment="1" applyBorder="1" applyFont="1">
      <alignment horizontal="left" readingOrder="0"/>
    </xf>
    <xf borderId="0" fillId="10" fontId="21" numFmtId="0" xfId="0" applyAlignment="1" applyFont="1">
      <alignment readingOrder="0"/>
    </xf>
    <xf borderId="0" fillId="9" fontId="21" numFmtId="0" xfId="0" applyAlignment="1" applyFont="1">
      <alignment readingOrder="0"/>
    </xf>
    <xf borderId="0" fillId="3" fontId="21" numFmtId="0" xfId="0" applyAlignment="1" applyFont="1">
      <alignment readingOrder="0"/>
    </xf>
    <xf borderId="59" fillId="9" fontId="22" numFmtId="0" xfId="0" applyAlignment="1" applyBorder="1" applyFont="1">
      <alignment horizontal="center" readingOrder="0" textRotation="0" vertical="center"/>
    </xf>
    <xf borderId="59" fillId="10" fontId="22" numFmtId="0" xfId="0" applyAlignment="1" applyBorder="1" applyFont="1">
      <alignment horizontal="center" readingOrder="0" textRotation="0" vertical="center"/>
    </xf>
    <xf borderId="65" fillId="9" fontId="22" numFmtId="0" xfId="0" applyAlignment="1" applyBorder="1" applyFont="1">
      <alignment horizontal="center" readingOrder="0" textRotation="0" vertical="center"/>
    </xf>
    <xf borderId="66" fillId="10" fontId="42" numFmtId="0" xfId="0" applyAlignment="1" applyBorder="1" applyFont="1">
      <alignment horizontal="center" readingOrder="0" vertical="center"/>
    </xf>
    <xf borderId="67" fillId="10" fontId="43" numFmtId="0" xfId="0" applyAlignment="1" applyBorder="1" applyFont="1">
      <alignment horizontal="left" readingOrder="0" vertical="center"/>
    </xf>
    <xf borderId="68" fillId="10" fontId="21" numFmtId="0" xfId="0" applyAlignment="1" applyBorder="1" applyFont="1">
      <alignment horizontal="left" readingOrder="0" shrinkToFit="0" vertical="center" wrapText="0"/>
    </xf>
    <xf borderId="67" fillId="10" fontId="44" numFmtId="49" xfId="0" applyAlignment="1" applyBorder="1" applyFont="1" applyNumberFormat="1">
      <alignment horizontal="center" readingOrder="0" vertical="center"/>
    </xf>
    <xf borderId="67" fillId="10" fontId="44" numFmtId="0" xfId="0" applyAlignment="1" applyBorder="1" applyFont="1">
      <alignment horizontal="left" readingOrder="0" shrinkToFit="0" vertical="center" wrapText="0"/>
    </xf>
    <xf borderId="69" fillId="10" fontId="44" numFmtId="0" xfId="0" applyAlignment="1" applyBorder="1" applyFont="1">
      <alignment horizontal="left" readingOrder="0" vertical="center"/>
    </xf>
    <xf borderId="0" fillId="9" fontId="42" numFmtId="0" xfId="0" applyAlignment="1" applyFont="1">
      <alignment horizontal="center" readingOrder="0" vertical="center"/>
    </xf>
    <xf borderId="0" fillId="9" fontId="43" numFmtId="0" xfId="0" applyAlignment="1" applyFont="1">
      <alignment horizontal="left" readingOrder="0" vertical="center"/>
    </xf>
    <xf borderId="0" fillId="9" fontId="21" numFmtId="0" xfId="0" applyAlignment="1" applyFont="1">
      <alignment horizontal="left" readingOrder="0" shrinkToFit="0" vertical="center" wrapText="0"/>
    </xf>
    <xf borderId="0" fillId="9" fontId="44" numFmtId="49" xfId="0" applyAlignment="1" applyFont="1" applyNumberFormat="1">
      <alignment horizontal="center" readingOrder="0" vertical="center"/>
    </xf>
    <xf borderId="0" fillId="9" fontId="44" numFmtId="0" xfId="0" applyAlignment="1" applyFont="1">
      <alignment horizontal="left" readingOrder="0" shrinkToFit="0" vertical="center" wrapText="0"/>
    </xf>
    <xf borderId="0" fillId="9" fontId="44" numFmtId="0" xfId="0" applyAlignment="1" applyFont="1">
      <alignment horizontal="left" readingOrder="0" vertical="center"/>
    </xf>
    <xf borderId="0" fillId="10" fontId="42" numFmtId="0" xfId="0" applyAlignment="1" applyFont="1">
      <alignment horizontal="center" readingOrder="0" vertical="center"/>
    </xf>
    <xf borderId="0" fillId="10" fontId="43" numFmtId="0" xfId="0" applyAlignment="1" applyFont="1">
      <alignment horizontal="left" readingOrder="0" vertical="center"/>
    </xf>
    <xf borderId="0" fillId="10" fontId="21" numFmtId="0" xfId="0" applyAlignment="1" applyFont="1">
      <alignment horizontal="left" readingOrder="0" shrinkToFit="0" vertical="center" wrapText="0"/>
    </xf>
    <xf borderId="0" fillId="10" fontId="44" numFmtId="49" xfId="0" applyAlignment="1" applyFont="1" applyNumberFormat="1">
      <alignment horizontal="center" readingOrder="0" vertical="center"/>
    </xf>
    <xf borderId="0" fillId="10" fontId="44" numFmtId="0" xfId="0" applyAlignment="1" applyFont="1">
      <alignment horizontal="left" readingOrder="0" shrinkToFit="0" vertical="center" wrapText="0"/>
    </xf>
    <xf borderId="0" fillId="10" fontId="44" numFmtId="0" xfId="0" applyAlignment="1" applyFont="1">
      <alignment horizontal="left" readingOrder="0" vertical="center"/>
    </xf>
    <xf borderId="0" fillId="3" fontId="45" numFmtId="0" xfId="0" applyFont="1"/>
    <xf borderId="0" fillId="3" fontId="45" numFmtId="166" xfId="0" applyFont="1" applyNumberFormat="1"/>
    <xf borderId="0" fillId="0" fontId="45" numFmtId="166" xfId="0" applyFont="1" applyNumberFormat="1"/>
    <xf borderId="70" fillId="3" fontId="46" numFmtId="0" xfId="0" applyAlignment="1" applyBorder="1" applyFont="1">
      <alignment readingOrder="0" shrinkToFit="0" wrapText="0"/>
    </xf>
    <xf borderId="70" fillId="0" fontId="3" numFmtId="0" xfId="0" applyBorder="1" applyFont="1"/>
    <xf borderId="0" fillId="11" fontId="47" numFmtId="0" xfId="0" applyAlignment="1" applyFill="1" applyFont="1">
      <alignment horizontal="left" readingOrder="0" vertical="center"/>
    </xf>
    <xf borderId="71" fillId="12" fontId="48" numFmtId="0" xfId="0" applyAlignment="1" applyBorder="1" applyFill="1" applyFont="1">
      <alignment horizontal="center" readingOrder="0" vertical="center"/>
    </xf>
    <xf borderId="72" fillId="12" fontId="48" numFmtId="0" xfId="0" applyAlignment="1" applyBorder="1" applyFont="1">
      <alignment horizontal="center" readingOrder="0" vertical="center"/>
    </xf>
    <xf borderId="73" fillId="12" fontId="48" numFmtId="0" xfId="0" applyAlignment="1" applyBorder="1" applyFont="1">
      <alignment horizontal="center" readingOrder="0" vertical="center"/>
    </xf>
    <xf borderId="74" fillId="3" fontId="49" numFmtId="0" xfId="0" applyAlignment="1" applyBorder="1" applyFont="1">
      <alignment readingOrder="0" shrinkToFit="0" wrapText="1"/>
    </xf>
    <xf borderId="75" fillId="3" fontId="49" numFmtId="0" xfId="0" applyAlignment="1" applyBorder="1" applyFont="1">
      <alignment readingOrder="0" shrinkToFit="0" wrapText="1"/>
    </xf>
    <xf borderId="75" fillId="3" fontId="49" numFmtId="0" xfId="0" applyAlignment="1" applyBorder="1" applyFont="1">
      <alignment shrinkToFit="0" wrapText="1"/>
    </xf>
    <xf borderId="76" fillId="3" fontId="49" numFmtId="0" xfId="0" applyAlignment="1" applyBorder="1" applyFont="1">
      <alignment shrinkToFit="0" wrapText="1"/>
    </xf>
    <xf borderId="74" fillId="3" fontId="49" numFmtId="0" xfId="0" applyAlignment="1" applyBorder="1" applyFont="1">
      <alignment shrinkToFit="0" wrapText="1"/>
    </xf>
    <xf borderId="75" fillId="3" fontId="45" numFmtId="0" xfId="0" applyBorder="1" applyFont="1"/>
    <xf borderId="76" fillId="3" fontId="45" numFmtId="0" xfId="0" applyBorder="1" applyFont="1"/>
    <xf borderId="74" fillId="12" fontId="48" numFmtId="0" xfId="0" applyAlignment="1" applyBorder="1" applyFont="1">
      <alignment horizontal="center" readingOrder="0" vertical="center"/>
    </xf>
    <xf borderId="75" fillId="12" fontId="48" numFmtId="0" xfId="0" applyAlignment="1" applyBorder="1" applyFont="1">
      <alignment horizontal="center" readingOrder="0" vertical="center"/>
    </xf>
    <xf borderId="76" fillId="12" fontId="48" numFmtId="0" xfId="0" applyAlignment="1" applyBorder="1" applyFont="1">
      <alignment horizontal="center" readingOrder="0" vertical="center"/>
    </xf>
    <xf borderId="75" fillId="12" fontId="48" numFmtId="0" xfId="0" applyAlignment="1" applyBorder="1" applyFont="1">
      <alignment horizontal="center" readingOrder="0"/>
    </xf>
    <xf borderId="76" fillId="12" fontId="48" numFmtId="0" xfId="0" applyAlignment="1" applyBorder="1" applyFont="1">
      <alignment horizontal="center" readingOrder="0"/>
    </xf>
    <xf borderId="77" fillId="3" fontId="49" numFmtId="0" xfId="0" applyAlignment="1" applyBorder="1" applyFont="1">
      <alignment shrinkToFit="0" wrapText="1"/>
    </xf>
    <xf borderId="78" fillId="3" fontId="49" numFmtId="0" xfId="0" applyAlignment="1" applyBorder="1" applyFont="1">
      <alignment shrinkToFit="0" wrapText="1"/>
    </xf>
    <xf borderId="78" fillId="3" fontId="49" numFmtId="0" xfId="0" applyAlignment="1" applyBorder="1" applyFont="1">
      <alignment readingOrder="0" shrinkToFit="0" wrapText="1"/>
    </xf>
    <xf borderId="78" fillId="3" fontId="45" numFmtId="0" xfId="0" applyBorder="1" applyFont="1"/>
    <xf borderId="79" fillId="3" fontId="4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Tổng quan-style">
      <tableStyleElement dxfId="1" type="headerRow"/>
      <tableStyleElement dxfId="2" type="firstRowStripe"/>
      <tableStyleElement dxfId="3" type="secondRowStripe"/>
    </tableStyle>
    <tableStyle count="3" pivot="0" name="Tổng quan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quan'!$G$8:$G$16</c:f>
            </c:strRef>
          </c:cat>
          <c:val>
            <c:numRef>
              <c:f>'Tổng quan'!$H$8:$H$16</c:f>
              <c:numCache/>
            </c:numRef>
          </c:val>
        </c:ser>
        <c:axId val="130623715"/>
        <c:axId val="1753209377"/>
      </c:barChart>
      <c:catAx>
        <c:axId val="130623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Roboto"/>
                  </a:defRPr>
                </a:pPr>
                <a:r>
                  <a:rPr b="1" sz="1400">
                    <a:solidFill>
                      <a:srgbClr val="000000"/>
                    </a:solidFill>
                    <a:latin typeface="Roboto"/>
                  </a:rPr>
                  <a:t>SỐ LƯỢNG HỢP ĐỒNG ĐÃ THỰC HIỆN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753209377"/>
      </c:catAx>
      <c:valAx>
        <c:axId val="1753209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400">
                    <a:solidFill>
                      <a:srgbClr val="000000"/>
                    </a:solidFill>
                    <a:latin typeface="Roboto"/>
                  </a:rPr>
                  <a:t>Số lượng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623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'Tổng quan'!$H$17:$H$18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quan'!$G$19:$G$29</c:f>
            </c:strRef>
          </c:cat>
          <c:val>
            <c:numRef>
              <c:f>'Tổng quan'!$H$19:$H$29</c:f>
              <c:numCache/>
            </c:numRef>
          </c:val>
        </c:ser>
        <c:axId val="1583015657"/>
        <c:axId val="2140642506"/>
      </c:barChart>
      <c:catAx>
        <c:axId val="1583015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Roboto"/>
                  </a:defRPr>
                </a:pPr>
                <a:r>
                  <a:rPr b="1" sz="1400">
                    <a:solidFill>
                      <a:srgbClr val="000000"/>
                    </a:solidFill>
                    <a:latin typeface="Roboto"/>
                  </a:rPr>
                  <a:t>TÊN KHU CÔNG NGHIỆP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434343"/>
                </a:solidFill>
                <a:latin typeface="Roboto"/>
              </a:defRPr>
            </a:pPr>
          </a:p>
        </c:txPr>
        <c:crossAx val="2140642506"/>
      </c:catAx>
      <c:valAx>
        <c:axId val="2140642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Roboto"/>
                  </a:defRPr>
                </a:pPr>
                <a:r>
                  <a:rPr b="1" sz="1400">
                    <a:solidFill>
                      <a:srgbClr val="000000"/>
                    </a:solidFill>
                    <a:latin typeface="Roboto"/>
                  </a:rPr>
                  <a:t>Số lượng HĐ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3015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47625</xdr:rowOff>
    </xdr:from>
    <xdr:ext cx="10163175" cy="5314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17</xdr:row>
      <xdr:rowOff>47625</xdr:rowOff>
    </xdr:from>
    <xdr:ext cx="10115550" cy="6753225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0</xdr:row>
      <xdr:rowOff>0</xdr:rowOff>
    </xdr:from>
    <xdr:ext cx="495300" cy="47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G7:I16" displayName="Table_1" name="Table_1" id="1">
  <tableColumns count="3">
    <tableColumn name="Tên phòng" id="1"/>
    <tableColumn name="Số lượng Hợp đồng" id="2"/>
    <tableColumn name="Giá trị _x000a_Hợp đồng" id="3"/>
  </tableColumns>
  <tableStyleInfo name="Tổng quan-style" showColumnStripes="0" showFirstColumn="1" showLastColumn="1" showRowStripes="1"/>
</table>
</file>

<file path=xl/tables/table2.xml><?xml version="1.0" encoding="utf-8"?>
<table xmlns="http://schemas.openxmlformats.org/spreadsheetml/2006/main" ref="G18:I29" displayName="Table_2" name="Table_2" id="2">
  <tableColumns count="3">
    <tableColumn name="Tên khu công nghiệp" id="1"/>
    <tableColumn name="Số lượng" id="2"/>
    <tableColumn name="Tên" id="3"/>
  </tableColumns>
  <tableStyleInfo name="Tổng quan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88"/>
    <col customWidth="1" min="2" max="2" width="32.63"/>
    <col customWidth="1" min="3" max="3" width="10.88"/>
    <col customWidth="1" min="4" max="4" width="32.5"/>
    <col customWidth="1" min="5" max="5" width="13.13"/>
    <col customWidth="1" min="6" max="6" width="21.38"/>
    <col customWidth="1" min="7" max="7" width="30.25"/>
    <col customWidth="1" min="8" max="8" width="15.5"/>
    <col customWidth="1" min="9" max="9" width="18.13"/>
  </cols>
  <sheetData>
    <row r="1" ht="91.5" customHeight="1">
      <c r="A1" s="1"/>
      <c r="B1" s="2" t="s">
        <v>0</v>
      </c>
      <c r="C1" s="3"/>
      <c r="D1" s="3"/>
      <c r="E1" s="3"/>
      <c r="F1" s="3"/>
      <c r="G1" s="3"/>
      <c r="H1" s="3"/>
      <c r="I1" s="4"/>
    </row>
    <row r="2" ht="1.5" customHeight="1">
      <c r="A2" s="5"/>
      <c r="B2" s="6"/>
      <c r="C2" s="6"/>
      <c r="D2" s="7"/>
      <c r="E2" s="6"/>
      <c r="F2" s="8"/>
      <c r="G2" s="9"/>
      <c r="H2" s="10"/>
      <c r="I2" s="11"/>
    </row>
    <row r="3" ht="1.5" customHeight="1">
      <c r="A3" s="5"/>
      <c r="B3" s="6"/>
      <c r="C3" s="6"/>
      <c r="D3" s="7"/>
      <c r="E3" s="6"/>
      <c r="F3" s="8"/>
      <c r="G3" s="9"/>
      <c r="H3" s="10"/>
      <c r="I3" s="11"/>
    </row>
    <row r="4" ht="39.0" customHeight="1">
      <c r="A4" s="12"/>
      <c r="D4" s="13"/>
      <c r="F4" s="14"/>
    </row>
    <row r="5" ht="72.0" customHeight="1">
      <c r="A5" s="15"/>
      <c r="B5" s="16"/>
      <c r="C5" s="16"/>
      <c r="D5" s="16"/>
      <c r="E5" s="16"/>
      <c r="F5" s="17" t="s">
        <v>1</v>
      </c>
      <c r="G5" s="18"/>
      <c r="H5" s="19">
        <f>counta('Dữ liệu'!B4:B30)</f>
        <v>202</v>
      </c>
      <c r="I5" s="20"/>
    </row>
    <row r="6" ht="46.5" customHeight="1">
      <c r="A6" s="21" t="s">
        <v>2</v>
      </c>
      <c r="B6" s="3"/>
      <c r="C6" s="3"/>
      <c r="D6" s="3"/>
      <c r="E6" s="3"/>
      <c r="F6" s="3"/>
      <c r="G6" s="3"/>
      <c r="H6" s="3"/>
      <c r="I6" s="4"/>
    </row>
    <row r="7" ht="54.75" customHeight="1">
      <c r="A7" s="22"/>
      <c r="B7" s="23"/>
      <c r="C7" s="24"/>
      <c r="D7" s="25"/>
      <c r="E7" s="23"/>
      <c r="F7" s="26"/>
      <c r="G7" s="27" t="str">
        <f>IFERROR(__xludf.DUMMYFUNCTION("query('Dữ liệu'!4:250,""select C , count(C) where (C &lt;&gt; '') group by C order by C label count(C) 'Số lượng Hợp đồng', C 'Tên phòng' "", 2)"),"Tên phòng")</f>
        <v>Tên phòng</v>
      </c>
      <c r="H7" s="28" t="str">
        <f>IFERROR(__xludf.DUMMYFUNCTION("""COMPUTED_VALUE"""),"Số lượng Hợp đồng")</f>
        <v>Số lượng Hợp đồng</v>
      </c>
      <c r="I7" s="29" t="s">
        <v>3</v>
      </c>
    </row>
    <row r="8" ht="40.5" customHeight="1">
      <c r="A8" s="30"/>
      <c r="B8" s="31"/>
      <c r="C8" s="24"/>
      <c r="D8" s="25"/>
      <c r="E8" s="23"/>
      <c r="F8" s="26"/>
      <c r="G8" s="32" t="str">
        <f>IFERROR(__xludf.DUMMYFUNCTION("""COMPUTED_VALUE"""),"Hỗ trợ Doanh nghiệp")</f>
        <v>Hỗ trợ Doanh nghiệp</v>
      </c>
      <c r="H8" s="33">
        <f>IFERROR(__xludf.DUMMYFUNCTION("""COMPUTED_VALUE"""),70.0)</f>
        <v>70</v>
      </c>
      <c r="I8" s="34"/>
    </row>
    <row r="9" ht="40.5" customHeight="1">
      <c r="A9" s="35"/>
      <c r="B9" s="36"/>
      <c r="C9" s="24"/>
      <c r="D9" s="25"/>
      <c r="E9" s="23"/>
      <c r="F9" s="26"/>
      <c r="G9" s="37" t="str">
        <f>IFERROR(__xludf.DUMMYFUNCTION("""COMPUTED_VALUE"""),"Khoa học Công nghệ")</f>
        <v>Khoa học Công nghệ</v>
      </c>
      <c r="H9" s="38">
        <f>IFERROR(__xludf.DUMMYFUNCTION("""COMPUTED_VALUE"""),6.0)</f>
        <v>6</v>
      </c>
      <c r="I9" s="34"/>
    </row>
    <row r="10" ht="40.5" customHeight="1">
      <c r="A10" s="39"/>
      <c r="B10" s="36"/>
      <c r="C10" s="24"/>
      <c r="D10" s="25"/>
      <c r="E10" s="23"/>
      <c r="F10" s="26"/>
      <c r="G10" s="37" t="str">
        <f>IFERROR(__xludf.DUMMYFUNCTION("""COMPUTED_VALUE"""),"Đào tạo- Bồi dưỡng")</f>
        <v>Đào tạo- Bồi dưỡng</v>
      </c>
      <c r="H10" s="38">
        <f>IFERROR(__xludf.DUMMYFUNCTION("""COMPUTED_VALUE"""),124.0)</f>
        <v>124</v>
      </c>
      <c r="I10" s="34"/>
    </row>
    <row r="11" ht="40.5" customHeight="1">
      <c r="A11" s="30"/>
      <c r="B11" s="31"/>
      <c r="C11" s="40"/>
      <c r="D11" s="25"/>
      <c r="E11" s="23"/>
      <c r="F11" s="26"/>
      <c r="G11" s="37"/>
      <c r="H11" s="38"/>
      <c r="I11" s="41"/>
    </row>
    <row r="12" ht="40.5" customHeight="1">
      <c r="A12" s="30"/>
      <c r="B12" s="31"/>
      <c r="C12" s="40"/>
      <c r="D12" s="25"/>
      <c r="E12" s="23"/>
      <c r="F12" s="26"/>
      <c r="G12" s="37"/>
      <c r="H12" s="38"/>
      <c r="I12" s="41"/>
    </row>
    <row r="13" ht="40.5" customHeight="1">
      <c r="A13" s="35"/>
      <c r="B13" s="36"/>
      <c r="C13" s="40"/>
      <c r="D13" s="25"/>
      <c r="E13" s="23"/>
      <c r="F13" s="26"/>
      <c r="G13" s="37"/>
      <c r="H13" s="42"/>
      <c r="I13" s="41"/>
    </row>
    <row r="14" ht="40.5" customHeight="1">
      <c r="A14" s="35"/>
      <c r="B14" s="36"/>
      <c r="C14" s="40"/>
      <c r="D14" s="25"/>
      <c r="E14" s="23"/>
      <c r="F14" s="26"/>
      <c r="G14" s="37"/>
      <c r="H14" s="38"/>
      <c r="I14" s="41"/>
    </row>
    <row r="15" ht="40.5" customHeight="1">
      <c r="A15" s="35"/>
      <c r="B15" s="36"/>
      <c r="C15" s="40"/>
      <c r="D15" s="25"/>
      <c r="E15" s="23"/>
      <c r="F15" s="26"/>
      <c r="G15" s="37"/>
      <c r="H15" s="38"/>
      <c r="I15" s="41"/>
    </row>
    <row r="16" ht="40.5" customHeight="1">
      <c r="A16" s="39"/>
      <c r="C16" s="24"/>
      <c r="D16" s="25"/>
      <c r="E16" s="23"/>
      <c r="F16" s="23"/>
      <c r="G16" s="43"/>
      <c r="H16" s="44"/>
      <c r="I16" s="45"/>
    </row>
    <row r="17" ht="45.75" customHeight="1">
      <c r="A17" s="21" t="s">
        <v>4</v>
      </c>
      <c r="B17" s="3"/>
      <c r="C17" s="3"/>
      <c r="D17" s="3"/>
      <c r="E17" s="3"/>
      <c r="F17" s="3"/>
      <c r="G17" s="3"/>
      <c r="H17" s="3"/>
      <c r="I17" s="4"/>
    </row>
    <row r="18" ht="54.0" customHeight="1">
      <c r="A18" s="22"/>
      <c r="B18" s="23"/>
      <c r="C18" s="24"/>
      <c r="D18" s="25"/>
      <c r="E18" s="23"/>
      <c r="F18" s="23"/>
      <c r="G18" s="46" t="str">
        <f>IFERROR(__xludf.DUMMYFUNCTION("query('Dữ liệu'!1:251,""select E , count(E) where (E &lt;&gt; '') group by E order by E label count(E) 'Số lượng', E 'Tên khu công nghiệp' "", 3)"),"Tên khu công nghiệp")</f>
        <v>Tên khu công nghiệp</v>
      </c>
      <c r="H18" s="47" t="str">
        <f>IFERROR(__xludf.DUMMYFUNCTION("""COMPUTED_VALUE"""),"Số lượng")</f>
        <v>Số lượng</v>
      </c>
      <c r="I18" s="48" t="s">
        <v>5</v>
      </c>
    </row>
    <row r="19" ht="44.25" customHeight="1">
      <c r="A19" s="49"/>
      <c r="B19" s="50"/>
      <c r="C19" s="51"/>
      <c r="D19" s="52"/>
      <c r="E19" s="23"/>
      <c r="F19" s="23"/>
      <c r="G19" s="53" t="str">
        <f>IFERROR(__xludf.DUMMYFUNCTION("""COMPUTED_VALUE"""),"CNC Hòa Lạc")</f>
        <v>CNC Hòa Lạc</v>
      </c>
      <c r="H19" s="54">
        <f>IFERROR(__xludf.DUMMYFUNCTION("""COMPUTED_VALUE"""),13.0)</f>
        <v>13</v>
      </c>
      <c r="I19" s="55" t="s">
        <v>6</v>
      </c>
    </row>
    <row r="20" ht="44.25" customHeight="1">
      <c r="A20" s="49"/>
      <c r="B20" s="56"/>
      <c r="C20" s="57"/>
      <c r="D20" s="58"/>
      <c r="E20" s="23"/>
      <c r="F20" s="26"/>
      <c r="G20" s="59" t="str">
        <f>IFERROR(__xludf.DUMMYFUNCTION("""COMPUTED_VALUE"""),"Khác")</f>
        <v>Khác</v>
      </c>
      <c r="H20" s="60">
        <f>IFERROR(__xludf.DUMMYFUNCTION("""COMPUTED_VALUE"""),43.0)</f>
        <v>43</v>
      </c>
      <c r="I20" s="61" t="s">
        <v>6</v>
      </c>
    </row>
    <row r="21" ht="44.25" customHeight="1">
      <c r="A21" s="62"/>
      <c r="B21" s="63"/>
      <c r="C21" s="57"/>
      <c r="D21" s="58"/>
      <c r="E21" s="23"/>
      <c r="F21" s="26"/>
      <c r="G21" s="59" t="str">
        <f>IFERROR(__xludf.DUMMYFUNCTION("""COMPUTED_VALUE"""),"Nội Bài")</f>
        <v>Nội Bài</v>
      </c>
      <c r="H21" s="60">
        <f>IFERROR(__xludf.DUMMYFUNCTION("""COMPUTED_VALUE"""),20.0)</f>
        <v>20</v>
      </c>
      <c r="I21" s="61" t="s">
        <v>6</v>
      </c>
    </row>
    <row r="22" ht="44.25" customHeight="1">
      <c r="A22" s="64"/>
      <c r="B22" s="65"/>
      <c r="C22" s="57"/>
      <c r="D22" s="58"/>
      <c r="E22" s="23"/>
      <c r="F22" s="26"/>
      <c r="G22" s="59" t="str">
        <f>IFERROR(__xludf.DUMMYFUNCTION("""COMPUTED_VALUE"""),"Phú Nghĩa")</f>
        <v>Phú Nghĩa</v>
      </c>
      <c r="H22" s="60">
        <f>IFERROR(__xludf.DUMMYFUNCTION("""COMPUTED_VALUE"""),17.0)</f>
        <v>17</v>
      </c>
      <c r="I22" s="61" t="s">
        <v>6</v>
      </c>
    </row>
    <row r="23" ht="44.25" customHeight="1">
      <c r="A23" s="39"/>
      <c r="B23" s="66"/>
      <c r="C23" s="67"/>
      <c r="D23" s="68"/>
      <c r="E23" s="23"/>
      <c r="F23" s="26"/>
      <c r="G23" s="59" t="str">
        <f>IFERROR(__xludf.DUMMYFUNCTION("""COMPUTED_VALUE"""),"Quang Minh")</f>
        <v>Quang Minh</v>
      </c>
      <c r="H23" s="60">
        <f>IFERROR(__xludf.DUMMYFUNCTION("""COMPUTED_VALUE"""),41.0)</f>
        <v>41</v>
      </c>
      <c r="I23" s="61" t="s">
        <v>6</v>
      </c>
    </row>
    <row r="24" ht="44.25" customHeight="1">
      <c r="A24" s="30"/>
      <c r="B24" s="31"/>
      <c r="C24" s="40"/>
      <c r="D24" s="25"/>
      <c r="E24" s="23"/>
      <c r="F24" s="26"/>
      <c r="G24" s="59" t="str">
        <f>IFERROR(__xludf.DUMMYFUNCTION("""COMPUTED_VALUE"""),"Sài Đồng")</f>
        <v>Sài Đồng</v>
      </c>
      <c r="H24" s="60">
        <f>IFERROR(__xludf.DUMMYFUNCTION("""COMPUTED_VALUE"""),13.0)</f>
        <v>13</v>
      </c>
      <c r="I24" s="61" t="s">
        <v>6</v>
      </c>
    </row>
    <row r="25" ht="44.25" customHeight="1">
      <c r="A25" s="35"/>
      <c r="B25" s="36"/>
      <c r="C25" s="40"/>
      <c r="D25" s="25"/>
      <c r="E25" s="23"/>
      <c r="F25" s="26"/>
      <c r="G25" s="59" t="str">
        <f>IFERROR(__xludf.DUMMYFUNCTION("""COMPUTED_VALUE"""),"Thăng Long")</f>
        <v>Thăng Long</v>
      </c>
      <c r="H25" s="60">
        <f>IFERROR(__xludf.DUMMYFUNCTION("""COMPUTED_VALUE"""),41.0)</f>
        <v>41</v>
      </c>
      <c r="I25" s="61" t="s">
        <v>6</v>
      </c>
    </row>
    <row r="26" ht="44.25" customHeight="1">
      <c r="A26" s="35"/>
      <c r="C26" s="24"/>
      <c r="D26" s="25"/>
      <c r="E26" s="23"/>
      <c r="F26" s="23"/>
      <c r="G26" s="69" t="str">
        <f>IFERROR(__xludf.DUMMYFUNCTION("""COMPUTED_VALUE"""),"Thạch Thất Quốc Oai")</f>
        <v>Thạch Thất Quốc Oai</v>
      </c>
      <c r="H26" s="70">
        <f>IFERROR(__xludf.DUMMYFUNCTION("""COMPUTED_VALUE"""),14.0)</f>
        <v>14</v>
      </c>
      <c r="I26" s="61" t="s">
        <v>6</v>
      </c>
    </row>
    <row r="27" ht="44.25" customHeight="1">
      <c r="A27" s="35"/>
      <c r="C27" s="24"/>
      <c r="D27" s="25"/>
      <c r="E27" s="23"/>
      <c r="F27" s="23"/>
      <c r="G27" s="69"/>
      <c r="H27" s="70"/>
      <c r="I27" s="71" t="str">
        <f t="shared" ref="I27:I28" si="1">I26</f>
        <v>Hợp đồng</v>
      </c>
    </row>
    <row r="28" ht="44.25" customHeight="1">
      <c r="A28" s="35"/>
      <c r="C28" s="24"/>
      <c r="D28" s="25"/>
      <c r="E28" s="23"/>
      <c r="F28" s="23"/>
      <c r="G28" s="69"/>
      <c r="H28" s="70"/>
      <c r="I28" s="71" t="str">
        <f t="shared" si="1"/>
        <v>Hợp đồng</v>
      </c>
    </row>
    <row r="29" ht="44.25" customHeight="1">
      <c r="A29" s="72"/>
      <c r="B29" s="73"/>
      <c r="C29" s="74"/>
      <c r="D29" s="75"/>
      <c r="E29" s="76"/>
      <c r="F29" s="76"/>
      <c r="G29" s="77"/>
      <c r="H29" s="78"/>
      <c r="I29" s="78"/>
    </row>
    <row r="30" ht="44.25" customHeight="1">
      <c r="A30" s="79"/>
      <c r="B30" s="36"/>
      <c r="C30" s="24"/>
      <c r="D30" s="25"/>
      <c r="E30" s="23"/>
      <c r="F30" s="23"/>
      <c r="G30" s="80"/>
      <c r="H30" s="81"/>
      <c r="I30" s="82"/>
    </row>
  </sheetData>
  <mergeCells count="13">
    <mergeCell ref="A9:A10"/>
    <mergeCell ref="A15:A16"/>
    <mergeCell ref="B15:B16"/>
    <mergeCell ref="A17:I17"/>
    <mergeCell ref="A22:A23"/>
    <mergeCell ref="B25:B29"/>
    <mergeCell ref="B1:I1"/>
    <mergeCell ref="A4:C4"/>
    <mergeCell ref="D4:E4"/>
    <mergeCell ref="F4:I4"/>
    <mergeCell ref="A5:E5"/>
    <mergeCell ref="F5:G5"/>
    <mergeCell ref="A6:I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88"/>
    <col customWidth="1" min="2" max="2" width="26.0"/>
    <col customWidth="1" min="3" max="3" width="42.88"/>
  </cols>
  <sheetData>
    <row r="1" ht="42.75" customHeight="1">
      <c r="A1" s="83" t="s">
        <v>7</v>
      </c>
      <c r="B1" s="84"/>
      <c r="C1" s="85"/>
    </row>
    <row r="2" ht="22.5" customHeight="1">
      <c r="A2" s="86" t="s">
        <v>8</v>
      </c>
      <c r="B2" s="87" t="s">
        <v>9</v>
      </c>
      <c r="C2" s="87" t="s">
        <v>10</v>
      </c>
    </row>
    <row r="3" ht="33.75" customHeight="1">
      <c r="A3" s="88" t="s">
        <v>11</v>
      </c>
      <c r="B3" s="89" t="s">
        <v>12</v>
      </c>
      <c r="C3" s="89" t="s">
        <v>13</v>
      </c>
    </row>
    <row r="4" ht="33.75" customHeight="1">
      <c r="A4" s="90" t="s">
        <v>14</v>
      </c>
      <c r="B4" s="91" t="s">
        <v>15</v>
      </c>
      <c r="C4" s="91" t="s">
        <v>16</v>
      </c>
    </row>
    <row r="5" ht="33.75" customHeight="1">
      <c r="A5" s="90" t="s">
        <v>17</v>
      </c>
      <c r="B5" s="91" t="s">
        <v>18</v>
      </c>
      <c r="C5" s="91" t="s">
        <v>19</v>
      </c>
    </row>
    <row r="6" ht="33.75" customHeight="1">
      <c r="A6" s="90" t="s">
        <v>20</v>
      </c>
      <c r="B6" s="91" t="s">
        <v>21</v>
      </c>
      <c r="C6" s="91" t="s">
        <v>22</v>
      </c>
    </row>
    <row r="7" ht="33.75" customHeight="1">
      <c r="A7" s="90" t="s">
        <v>23</v>
      </c>
      <c r="B7" s="91"/>
      <c r="C7" s="91" t="s">
        <v>24</v>
      </c>
    </row>
    <row r="8" ht="33.75" customHeight="1">
      <c r="A8" s="90" t="s">
        <v>25</v>
      </c>
      <c r="B8" s="91"/>
      <c r="C8" s="91" t="s">
        <v>26</v>
      </c>
    </row>
    <row r="9" ht="33.75" customHeight="1">
      <c r="A9" s="90" t="s">
        <v>27</v>
      </c>
      <c r="B9" s="91"/>
      <c r="C9" s="91" t="s">
        <v>28</v>
      </c>
    </row>
    <row r="10" ht="33.75" customHeight="1">
      <c r="A10" s="90" t="s">
        <v>20</v>
      </c>
      <c r="B10" s="91"/>
      <c r="C10" s="91" t="s">
        <v>29</v>
      </c>
    </row>
    <row r="11" ht="33.75" customHeight="1">
      <c r="A11" s="90"/>
      <c r="B11" s="91"/>
      <c r="C11" s="91" t="s">
        <v>30</v>
      </c>
    </row>
    <row r="12" ht="33.75" customHeight="1">
      <c r="A12" s="90" t="s">
        <v>31</v>
      </c>
      <c r="B12" s="91"/>
      <c r="C12" s="91" t="s">
        <v>32</v>
      </c>
    </row>
    <row r="13" ht="33.75" customHeight="1">
      <c r="A13" s="90" t="s">
        <v>33</v>
      </c>
      <c r="B13" s="91"/>
      <c r="C13" s="91" t="s">
        <v>34</v>
      </c>
    </row>
    <row r="14" ht="33.75" customHeight="1">
      <c r="A14" s="90"/>
      <c r="B14" s="91"/>
      <c r="C14" s="91" t="s">
        <v>35</v>
      </c>
    </row>
    <row r="15" ht="33.75" customHeight="1">
      <c r="A15" s="90" t="s">
        <v>36</v>
      </c>
      <c r="B15" s="91"/>
      <c r="C15" s="91"/>
    </row>
    <row r="16" ht="33.75" customHeight="1">
      <c r="A16" s="92"/>
      <c r="B16" s="91"/>
      <c r="C16" s="91"/>
    </row>
    <row r="17" ht="33.75" customHeight="1">
      <c r="A17" s="92"/>
      <c r="B17" s="91"/>
      <c r="C17" s="91"/>
    </row>
    <row r="18" ht="33.75" customHeight="1">
      <c r="A18" s="92"/>
      <c r="B18" s="91"/>
      <c r="C18" s="91"/>
    </row>
    <row r="19" ht="33.75" customHeight="1">
      <c r="A19" s="92"/>
      <c r="B19" s="91"/>
      <c r="C19" s="91"/>
    </row>
    <row r="20" ht="33.75" customHeight="1">
      <c r="A20" s="92"/>
      <c r="B20" s="91"/>
      <c r="C20" s="91"/>
    </row>
    <row r="21" ht="33.75" customHeight="1">
      <c r="A21" s="92"/>
      <c r="B21" s="91"/>
      <c r="C21" s="91"/>
    </row>
    <row r="22" ht="22.5" customHeight="1">
      <c r="A22" s="93"/>
      <c r="B22" s="94"/>
      <c r="C22" s="94"/>
    </row>
    <row r="23" ht="22.5" customHeight="1">
      <c r="A23" s="95"/>
      <c r="B23" s="96"/>
      <c r="C23" s="96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4DB7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5"/>
    <col customWidth="1" min="2" max="2" width="72.38"/>
    <col customWidth="1" min="3" max="3" width="32.63"/>
    <col customWidth="1" min="4" max="4" width="23.13"/>
    <col customWidth="1" min="5" max="5" width="27.63"/>
    <col customWidth="1" min="6" max="6" width="25.0"/>
    <col customWidth="1" min="7" max="7" width="26.88"/>
    <col customWidth="1" min="8" max="8" width="24.13"/>
    <col customWidth="1" min="9" max="13" width="23.0"/>
    <col customWidth="1" min="14" max="14" width="25.38"/>
    <col customWidth="1" min="15" max="15" width="39.0"/>
  </cols>
  <sheetData>
    <row r="1" ht="98.25" customHeight="1">
      <c r="A1" s="97">
        <f>365-30</f>
        <v>335</v>
      </c>
      <c r="B1" s="98" t="s">
        <v>37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ht="1.5" customHeight="1">
      <c r="A2" s="100">
        <f>720-30</f>
        <v>690</v>
      </c>
    </row>
    <row r="3" ht="43.5" customHeight="1">
      <c r="A3" s="101" t="s">
        <v>38</v>
      </c>
      <c r="B3" s="102" t="s">
        <v>39</v>
      </c>
      <c r="C3" s="102" t="s">
        <v>40</v>
      </c>
      <c r="D3" s="103" t="s">
        <v>41</v>
      </c>
      <c r="E3" s="104" t="s">
        <v>8</v>
      </c>
      <c r="F3" s="105" t="s">
        <v>42</v>
      </c>
      <c r="G3" s="106"/>
      <c r="H3" s="106"/>
      <c r="I3" s="106"/>
      <c r="J3" s="106"/>
      <c r="K3" s="106"/>
      <c r="L3" s="106"/>
      <c r="M3" s="106"/>
      <c r="N3" s="107"/>
      <c r="O3" s="108" t="s">
        <v>43</v>
      </c>
    </row>
    <row r="4" ht="112.5" customHeight="1">
      <c r="A4" s="109">
        <v>3.0</v>
      </c>
      <c r="B4" s="110" t="s">
        <v>44</v>
      </c>
      <c r="C4" s="111" t="s">
        <v>15</v>
      </c>
      <c r="D4" s="112" t="s">
        <v>45</v>
      </c>
      <c r="E4" s="111" t="s">
        <v>33</v>
      </c>
      <c r="F4" s="111" t="s">
        <v>26</v>
      </c>
      <c r="G4" s="111"/>
      <c r="H4" s="111"/>
      <c r="I4" s="111"/>
      <c r="J4" s="111"/>
      <c r="K4" s="111"/>
      <c r="L4" s="111"/>
      <c r="M4" s="111"/>
      <c r="N4" s="111"/>
      <c r="O4" s="113"/>
    </row>
    <row r="5" ht="40.5" customHeight="1">
      <c r="A5" s="114">
        <v>1.0</v>
      </c>
      <c r="B5" s="115" t="s">
        <v>46</v>
      </c>
      <c r="C5" s="116" t="s">
        <v>15</v>
      </c>
      <c r="D5" s="117" t="s">
        <v>47</v>
      </c>
      <c r="E5" s="116" t="s">
        <v>14</v>
      </c>
      <c r="F5" s="116" t="s">
        <v>26</v>
      </c>
      <c r="G5" s="116"/>
      <c r="H5" s="116"/>
      <c r="I5" s="116"/>
      <c r="J5" s="116"/>
      <c r="K5" s="116"/>
      <c r="L5" s="116"/>
      <c r="M5" s="116"/>
      <c r="N5" s="116"/>
      <c r="O5" s="118"/>
    </row>
    <row r="6" ht="42.0" customHeight="1">
      <c r="A6" s="109">
        <f t="shared" ref="A6:A7" si="1">A5+1</f>
        <v>2</v>
      </c>
      <c r="B6" s="110" t="s">
        <v>48</v>
      </c>
      <c r="C6" s="111" t="s">
        <v>15</v>
      </c>
      <c r="D6" s="112" t="s">
        <v>49</v>
      </c>
      <c r="E6" s="111" t="s">
        <v>36</v>
      </c>
      <c r="F6" s="111" t="s">
        <v>26</v>
      </c>
      <c r="G6" s="111"/>
      <c r="H6" s="111"/>
      <c r="I6" s="111"/>
      <c r="J6" s="111"/>
      <c r="K6" s="111"/>
      <c r="L6" s="111"/>
      <c r="M6" s="111"/>
      <c r="N6" s="111"/>
      <c r="O6" s="113"/>
    </row>
    <row r="7" ht="52.5" customHeight="1">
      <c r="A7" s="114">
        <f t="shared" si="1"/>
        <v>3</v>
      </c>
      <c r="B7" s="115" t="s">
        <v>44</v>
      </c>
      <c r="C7" s="116" t="s">
        <v>15</v>
      </c>
      <c r="D7" s="117" t="s">
        <v>50</v>
      </c>
      <c r="E7" s="116" t="s">
        <v>33</v>
      </c>
      <c r="F7" s="116" t="s">
        <v>26</v>
      </c>
      <c r="G7" s="116"/>
      <c r="H7" s="116"/>
      <c r="I7" s="116"/>
      <c r="J7" s="116"/>
      <c r="K7" s="116"/>
      <c r="L7" s="116"/>
      <c r="M7" s="116"/>
      <c r="N7" s="116"/>
      <c r="O7" s="118"/>
    </row>
    <row r="8" ht="52.5" customHeight="1">
      <c r="A8" s="109">
        <v>6.0</v>
      </c>
      <c r="B8" s="110" t="s">
        <v>51</v>
      </c>
      <c r="C8" s="111" t="s">
        <v>15</v>
      </c>
      <c r="D8" s="112" t="s">
        <v>52</v>
      </c>
      <c r="E8" s="111" t="s">
        <v>33</v>
      </c>
      <c r="F8" s="111" t="s">
        <v>26</v>
      </c>
      <c r="G8" s="111"/>
      <c r="H8" s="111"/>
      <c r="I8" s="111"/>
      <c r="J8" s="111"/>
      <c r="K8" s="111"/>
      <c r="L8" s="111"/>
      <c r="M8" s="111"/>
      <c r="N8" s="111"/>
      <c r="O8" s="113"/>
    </row>
    <row r="9" ht="52.5" customHeight="1">
      <c r="A9" s="114">
        <v>7.0</v>
      </c>
      <c r="B9" s="115" t="s">
        <v>53</v>
      </c>
      <c r="C9" s="116" t="s">
        <v>15</v>
      </c>
      <c r="D9" s="117" t="s">
        <v>54</v>
      </c>
      <c r="E9" s="116" t="s">
        <v>33</v>
      </c>
      <c r="F9" s="116" t="s">
        <v>26</v>
      </c>
      <c r="G9" s="116"/>
      <c r="H9" s="116"/>
      <c r="I9" s="116"/>
      <c r="J9" s="116"/>
      <c r="K9" s="116"/>
      <c r="L9" s="116"/>
      <c r="M9" s="116"/>
      <c r="N9" s="116"/>
      <c r="O9" s="118"/>
    </row>
    <row r="10" ht="52.5" customHeight="1">
      <c r="A10" s="109">
        <f>A7+1</f>
        <v>4</v>
      </c>
      <c r="B10" s="110" t="s">
        <v>55</v>
      </c>
      <c r="C10" s="111" t="s">
        <v>15</v>
      </c>
      <c r="D10" s="112" t="s">
        <v>47</v>
      </c>
      <c r="E10" s="111" t="s">
        <v>14</v>
      </c>
      <c r="F10" s="111" t="s">
        <v>26</v>
      </c>
      <c r="G10" s="111"/>
      <c r="H10" s="111"/>
      <c r="I10" s="111"/>
      <c r="J10" s="111"/>
      <c r="K10" s="111"/>
      <c r="L10" s="111"/>
      <c r="M10" s="111"/>
      <c r="N10" s="111"/>
      <c r="O10" s="113"/>
    </row>
    <row r="11" ht="52.5" customHeight="1">
      <c r="A11" s="114">
        <v>5.0</v>
      </c>
      <c r="B11" s="115" t="s">
        <v>56</v>
      </c>
      <c r="C11" s="116" t="s">
        <v>15</v>
      </c>
      <c r="D11" s="117" t="s">
        <v>47</v>
      </c>
      <c r="E11" s="116" t="s">
        <v>14</v>
      </c>
      <c r="F11" s="116" t="s">
        <v>26</v>
      </c>
      <c r="G11" s="116"/>
      <c r="H11" s="116"/>
      <c r="I11" s="116"/>
      <c r="J11" s="116"/>
      <c r="K11" s="116"/>
      <c r="L11" s="116"/>
      <c r="M11" s="116"/>
      <c r="N11" s="116"/>
      <c r="O11" s="118"/>
    </row>
    <row r="12" ht="52.5" customHeight="1">
      <c r="A12" s="109">
        <f>A11+1</f>
        <v>6</v>
      </c>
      <c r="B12" s="110" t="s">
        <v>51</v>
      </c>
      <c r="C12" s="111" t="s">
        <v>15</v>
      </c>
      <c r="D12" s="112" t="s">
        <v>52</v>
      </c>
      <c r="E12" s="111" t="s">
        <v>33</v>
      </c>
      <c r="F12" s="111" t="s">
        <v>26</v>
      </c>
      <c r="G12" s="111"/>
      <c r="H12" s="111"/>
      <c r="I12" s="111"/>
      <c r="J12" s="111"/>
      <c r="K12" s="111"/>
      <c r="L12" s="111"/>
      <c r="M12" s="111"/>
      <c r="N12" s="111"/>
      <c r="O12" s="113"/>
    </row>
    <row r="13" ht="47.25" customHeight="1">
      <c r="A13" s="114">
        <v>10.0</v>
      </c>
      <c r="B13" s="115" t="s">
        <v>57</v>
      </c>
      <c r="C13" s="116" t="s">
        <v>15</v>
      </c>
      <c r="D13" s="117" t="s">
        <v>58</v>
      </c>
      <c r="E13" s="116" t="s">
        <v>33</v>
      </c>
      <c r="F13" s="116" t="s">
        <v>26</v>
      </c>
      <c r="G13" s="116"/>
      <c r="H13" s="116"/>
      <c r="I13" s="116"/>
      <c r="J13" s="116"/>
      <c r="K13" s="116"/>
      <c r="L13" s="116"/>
      <c r="M13" s="116"/>
      <c r="N13" s="116"/>
      <c r="O13" s="118"/>
    </row>
    <row r="14" ht="47.25" customHeight="1">
      <c r="A14" s="109">
        <v>11.0</v>
      </c>
      <c r="B14" s="110" t="s">
        <v>59</v>
      </c>
      <c r="C14" s="111" t="s">
        <v>15</v>
      </c>
      <c r="D14" s="112" t="s">
        <v>58</v>
      </c>
      <c r="E14" s="111" t="s">
        <v>33</v>
      </c>
      <c r="F14" s="111" t="s">
        <v>26</v>
      </c>
      <c r="G14" s="111"/>
      <c r="H14" s="111"/>
      <c r="I14" s="111"/>
      <c r="J14" s="111"/>
      <c r="K14" s="111"/>
      <c r="L14" s="111"/>
      <c r="M14" s="111"/>
      <c r="N14" s="111"/>
      <c r="O14" s="113"/>
    </row>
    <row r="15" ht="47.25" customHeight="1">
      <c r="A15" s="114">
        <v>7.0</v>
      </c>
      <c r="B15" s="115" t="s">
        <v>53</v>
      </c>
      <c r="C15" s="116" t="s">
        <v>15</v>
      </c>
      <c r="D15" s="117" t="s">
        <v>54</v>
      </c>
      <c r="E15" s="116" t="s">
        <v>33</v>
      </c>
      <c r="F15" s="116" t="s">
        <v>26</v>
      </c>
      <c r="G15" s="116"/>
      <c r="H15" s="116"/>
      <c r="I15" s="116"/>
      <c r="J15" s="116"/>
      <c r="K15" s="116"/>
      <c r="L15" s="116"/>
      <c r="M15" s="116"/>
      <c r="N15" s="116"/>
      <c r="O15" s="118"/>
    </row>
    <row r="16" ht="47.25" customHeight="1">
      <c r="A16" s="109">
        <f t="shared" ref="A16:A27" si="2">A15+1</f>
        <v>8</v>
      </c>
      <c r="B16" s="119" t="s">
        <v>60</v>
      </c>
      <c r="C16" s="111" t="s">
        <v>15</v>
      </c>
      <c r="D16" s="112" t="s">
        <v>61</v>
      </c>
      <c r="E16" s="111" t="s">
        <v>17</v>
      </c>
      <c r="F16" s="111" t="s">
        <v>26</v>
      </c>
      <c r="G16" s="111"/>
      <c r="H16" s="111"/>
      <c r="I16" s="111"/>
      <c r="J16" s="111"/>
      <c r="K16" s="111"/>
      <c r="L16" s="111"/>
      <c r="M16" s="111"/>
      <c r="N16" s="111"/>
      <c r="O16" s="113"/>
    </row>
    <row r="17" ht="47.25" customHeight="1">
      <c r="A17" s="114">
        <f t="shared" si="2"/>
        <v>9</v>
      </c>
      <c r="B17" s="115" t="s">
        <v>62</v>
      </c>
      <c r="C17" s="116" t="s">
        <v>15</v>
      </c>
      <c r="D17" s="117" t="s">
        <v>63</v>
      </c>
      <c r="E17" s="116" t="s">
        <v>11</v>
      </c>
      <c r="F17" s="116" t="s">
        <v>26</v>
      </c>
      <c r="G17" s="116"/>
      <c r="H17" s="116"/>
      <c r="I17" s="116"/>
      <c r="J17" s="116"/>
      <c r="K17" s="116"/>
      <c r="L17" s="116"/>
      <c r="M17" s="116"/>
      <c r="N17" s="116"/>
      <c r="O17" s="118"/>
    </row>
    <row r="18" ht="47.25" customHeight="1">
      <c r="A18" s="109">
        <f t="shared" si="2"/>
        <v>10</v>
      </c>
      <c r="B18" s="110" t="s">
        <v>57</v>
      </c>
      <c r="C18" s="111" t="s">
        <v>15</v>
      </c>
      <c r="D18" s="112" t="s">
        <v>63</v>
      </c>
      <c r="E18" s="111" t="s">
        <v>11</v>
      </c>
      <c r="F18" s="111" t="s">
        <v>26</v>
      </c>
      <c r="G18" s="111"/>
      <c r="H18" s="111"/>
      <c r="I18" s="111"/>
      <c r="J18" s="111"/>
      <c r="K18" s="111"/>
      <c r="L18" s="111"/>
      <c r="M18" s="111"/>
      <c r="N18" s="111"/>
      <c r="O18" s="113"/>
    </row>
    <row r="19" ht="47.25" customHeight="1">
      <c r="A19" s="114">
        <f t="shared" si="2"/>
        <v>11</v>
      </c>
      <c r="B19" s="115" t="s">
        <v>59</v>
      </c>
      <c r="C19" s="116" t="s">
        <v>15</v>
      </c>
      <c r="D19" s="117" t="s">
        <v>58</v>
      </c>
      <c r="E19" s="116" t="s">
        <v>33</v>
      </c>
      <c r="F19" s="116" t="s">
        <v>26</v>
      </c>
      <c r="G19" s="116"/>
      <c r="H19" s="116"/>
      <c r="I19" s="116"/>
      <c r="J19" s="116"/>
      <c r="K19" s="116"/>
      <c r="L19" s="116"/>
      <c r="M19" s="116"/>
      <c r="N19" s="116"/>
      <c r="O19" s="118"/>
    </row>
    <row r="20" ht="47.25" customHeight="1">
      <c r="A20" s="109">
        <f t="shared" si="2"/>
        <v>12</v>
      </c>
      <c r="B20" s="110" t="s">
        <v>64</v>
      </c>
      <c r="C20" s="111" t="s">
        <v>15</v>
      </c>
      <c r="D20" s="112" t="s">
        <v>58</v>
      </c>
      <c r="E20" s="111" t="s">
        <v>11</v>
      </c>
      <c r="F20" s="111" t="s">
        <v>26</v>
      </c>
      <c r="G20" s="111"/>
      <c r="H20" s="111"/>
      <c r="I20" s="111"/>
      <c r="J20" s="111"/>
      <c r="K20" s="111"/>
      <c r="L20" s="111"/>
      <c r="M20" s="111"/>
      <c r="N20" s="111"/>
      <c r="O20" s="113"/>
    </row>
    <row r="21" ht="47.25" customHeight="1">
      <c r="A21" s="114">
        <f t="shared" si="2"/>
        <v>13</v>
      </c>
      <c r="B21" s="115" t="s">
        <v>65</v>
      </c>
      <c r="C21" s="116" t="s">
        <v>15</v>
      </c>
      <c r="D21" s="117" t="s">
        <v>66</v>
      </c>
      <c r="E21" s="116" t="s">
        <v>11</v>
      </c>
      <c r="F21" s="116" t="s">
        <v>26</v>
      </c>
      <c r="G21" s="116"/>
      <c r="H21" s="116"/>
      <c r="I21" s="116"/>
      <c r="J21" s="116"/>
      <c r="K21" s="116"/>
      <c r="L21" s="116"/>
      <c r="M21" s="116"/>
      <c r="N21" s="116"/>
      <c r="O21" s="118"/>
    </row>
    <row r="22" ht="47.25" customHeight="1">
      <c r="A22" s="109">
        <f t="shared" si="2"/>
        <v>14</v>
      </c>
      <c r="B22" s="110" t="s">
        <v>67</v>
      </c>
      <c r="C22" s="111" t="s">
        <v>15</v>
      </c>
      <c r="D22" s="112" t="s">
        <v>68</v>
      </c>
      <c r="E22" s="111" t="s">
        <v>17</v>
      </c>
      <c r="F22" s="111" t="s">
        <v>26</v>
      </c>
      <c r="G22" s="111"/>
      <c r="H22" s="111"/>
      <c r="I22" s="111"/>
      <c r="J22" s="111"/>
      <c r="K22" s="111"/>
      <c r="L22" s="111"/>
      <c r="M22" s="111"/>
      <c r="N22" s="111"/>
      <c r="O22" s="113"/>
    </row>
    <row r="23" ht="47.25" customHeight="1">
      <c r="A23" s="114">
        <f t="shared" si="2"/>
        <v>15</v>
      </c>
      <c r="B23" s="115" t="s">
        <v>69</v>
      </c>
      <c r="C23" s="116" t="s">
        <v>15</v>
      </c>
      <c r="D23" s="117" t="s">
        <v>70</v>
      </c>
      <c r="E23" s="116" t="s">
        <v>23</v>
      </c>
      <c r="F23" s="116" t="s">
        <v>26</v>
      </c>
      <c r="G23" s="116"/>
      <c r="H23" s="116"/>
      <c r="I23" s="116"/>
      <c r="J23" s="116"/>
      <c r="K23" s="116"/>
      <c r="L23" s="116"/>
      <c r="M23" s="116"/>
      <c r="N23" s="116"/>
      <c r="O23" s="118"/>
    </row>
    <row r="24" ht="47.25" customHeight="1">
      <c r="A24" s="109">
        <f t="shared" si="2"/>
        <v>16</v>
      </c>
      <c r="B24" s="110" t="s">
        <v>71</v>
      </c>
      <c r="C24" s="111" t="s">
        <v>15</v>
      </c>
      <c r="D24" s="112" t="s">
        <v>72</v>
      </c>
      <c r="E24" s="111" t="s">
        <v>20</v>
      </c>
      <c r="F24" s="111" t="s">
        <v>26</v>
      </c>
      <c r="G24" s="111"/>
      <c r="H24" s="111"/>
      <c r="I24" s="111"/>
      <c r="J24" s="111"/>
      <c r="K24" s="111"/>
      <c r="L24" s="111"/>
      <c r="M24" s="111"/>
      <c r="N24" s="111"/>
      <c r="O24" s="113"/>
    </row>
    <row r="25" ht="47.25" customHeight="1">
      <c r="A25" s="114">
        <f t="shared" si="2"/>
        <v>17</v>
      </c>
      <c r="B25" s="115" t="s">
        <v>73</v>
      </c>
      <c r="C25" s="116" t="s">
        <v>15</v>
      </c>
      <c r="D25" s="117" t="s">
        <v>74</v>
      </c>
      <c r="E25" s="116" t="s">
        <v>33</v>
      </c>
      <c r="F25" s="116" t="s">
        <v>26</v>
      </c>
      <c r="G25" s="116" t="s">
        <v>13</v>
      </c>
      <c r="H25" s="116"/>
      <c r="I25" s="116"/>
      <c r="J25" s="116"/>
      <c r="K25" s="116"/>
      <c r="L25" s="116"/>
      <c r="M25" s="116"/>
      <c r="N25" s="116"/>
      <c r="O25" s="118"/>
    </row>
    <row r="26" ht="47.25" customHeight="1">
      <c r="A26" s="109">
        <f t="shared" si="2"/>
        <v>18</v>
      </c>
      <c r="B26" s="110" t="s">
        <v>75</v>
      </c>
      <c r="C26" s="111" t="s">
        <v>15</v>
      </c>
      <c r="D26" s="112" t="s">
        <v>76</v>
      </c>
      <c r="E26" s="111" t="s">
        <v>33</v>
      </c>
      <c r="F26" s="111" t="s">
        <v>26</v>
      </c>
      <c r="G26" s="111" t="s">
        <v>13</v>
      </c>
      <c r="H26" s="111"/>
      <c r="I26" s="111"/>
      <c r="J26" s="111"/>
      <c r="K26" s="111"/>
      <c r="L26" s="111"/>
      <c r="M26" s="111"/>
      <c r="N26" s="111"/>
      <c r="O26" s="113"/>
    </row>
    <row r="27" ht="47.25" customHeight="1">
      <c r="A27" s="114">
        <f t="shared" si="2"/>
        <v>19</v>
      </c>
      <c r="B27" s="115" t="s">
        <v>77</v>
      </c>
      <c r="C27" s="116" t="s">
        <v>15</v>
      </c>
      <c r="D27" s="117" t="s">
        <v>76</v>
      </c>
      <c r="E27" s="116" t="s">
        <v>33</v>
      </c>
      <c r="F27" s="116" t="s">
        <v>26</v>
      </c>
      <c r="G27" s="116" t="s">
        <v>13</v>
      </c>
      <c r="H27" s="116"/>
      <c r="I27" s="116"/>
      <c r="J27" s="116"/>
      <c r="K27" s="116"/>
      <c r="L27" s="116"/>
      <c r="M27" s="116"/>
      <c r="N27" s="116"/>
      <c r="O27" s="118"/>
    </row>
    <row r="28" ht="47.25" customHeight="1">
      <c r="A28" s="109">
        <v>17.0</v>
      </c>
      <c r="B28" s="120" t="s">
        <v>73</v>
      </c>
      <c r="C28" s="111" t="s">
        <v>15</v>
      </c>
      <c r="D28" s="121" t="s">
        <v>78</v>
      </c>
      <c r="E28" s="111" t="s">
        <v>33</v>
      </c>
      <c r="F28" s="111" t="s">
        <v>26</v>
      </c>
      <c r="G28" s="111" t="s">
        <v>13</v>
      </c>
      <c r="H28" s="111"/>
      <c r="I28" s="111"/>
      <c r="J28" s="111"/>
      <c r="K28" s="111"/>
      <c r="L28" s="111"/>
      <c r="M28" s="111"/>
      <c r="N28" s="111"/>
      <c r="O28" s="113"/>
    </row>
    <row r="29" ht="47.25" customHeight="1">
      <c r="A29" s="114">
        <v>18.0</v>
      </c>
      <c r="B29" s="122" t="s">
        <v>75</v>
      </c>
      <c r="C29" s="116" t="s">
        <v>15</v>
      </c>
      <c r="D29" s="123" t="s">
        <v>78</v>
      </c>
      <c r="E29" s="116" t="s">
        <v>33</v>
      </c>
      <c r="F29" s="116" t="s">
        <v>26</v>
      </c>
      <c r="G29" s="116" t="s">
        <v>13</v>
      </c>
      <c r="H29" s="116"/>
      <c r="I29" s="116"/>
      <c r="J29" s="116"/>
      <c r="K29" s="116"/>
      <c r="L29" s="116"/>
      <c r="M29" s="116"/>
      <c r="N29" s="116"/>
      <c r="O29" s="118"/>
    </row>
    <row r="30" ht="47.25" customHeight="1">
      <c r="A30" s="109">
        <v>19.0</v>
      </c>
      <c r="B30" s="120" t="s">
        <v>77</v>
      </c>
      <c r="C30" s="111" t="s">
        <v>15</v>
      </c>
      <c r="D30" s="121" t="s">
        <v>78</v>
      </c>
      <c r="E30" s="111" t="s">
        <v>33</v>
      </c>
      <c r="F30" s="111" t="s">
        <v>26</v>
      </c>
      <c r="G30" s="111" t="s">
        <v>13</v>
      </c>
      <c r="H30" s="111"/>
      <c r="I30" s="111"/>
      <c r="J30" s="111"/>
      <c r="K30" s="111"/>
      <c r="L30" s="111"/>
      <c r="M30" s="111"/>
      <c r="N30" s="111"/>
      <c r="O30" s="113"/>
    </row>
    <row r="31" ht="47.25" customHeight="1">
      <c r="A31" s="114">
        <f t="shared" ref="A31:A34" si="3">A30+1</f>
        <v>20</v>
      </c>
      <c r="B31" s="122" t="s">
        <v>79</v>
      </c>
      <c r="C31" s="116" t="s">
        <v>15</v>
      </c>
      <c r="D31" s="124"/>
      <c r="E31" s="116" t="s">
        <v>23</v>
      </c>
      <c r="F31" s="116" t="s">
        <v>26</v>
      </c>
      <c r="G31" s="116" t="s">
        <v>13</v>
      </c>
      <c r="H31" s="116"/>
      <c r="I31" s="116"/>
      <c r="J31" s="116"/>
      <c r="K31" s="116"/>
      <c r="L31" s="116"/>
      <c r="M31" s="116"/>
      <c r="N31" s="116"/>
      <c r="O31" s="118"/>
    </row>
    <row r="32" ht="47.25" customHeight="1">
      <c r="A32" s="109">
        <f t="shared" si="3"/>
        <v>21</v>
      </c>
      <c r="B32" s="120" t="s">
        <v>80</v>
      </c>
      <c r="C32" s="111" t="s">
        <v>15</v>
      </c>
      <c r="D32" s="121" t="s">
        <v>81</v>
      </c>
      <c r="E32" s="111" t="s">
        <v>14</v>
      </c>
      <c r="F32" s="111" t="s">
        <v>26</v>
      </c>
      <c r="G32" s="111"/>
      <c r="H32" s="111"/>
      <c r="I32" s="111"/>
      <c r="J32" s="111"/>
      <c r="K32" s="111"/>
      <c r="L32" s="111"/>
      <c r="M32" s="111"/>
      <c r="N32" s="111"/>
      <c r="O32" s="113"/>
    </row>
    <row r="33" ht="47.25" customHeight="1">
      <c r="A33" s="114">
        <f t="shared" si="3"/>
        <v>22</v>
      </c>
      <c r="B33" s="122" t="s">
        <v>82</v>
      </c>
      <c r="C33" s="116" t="s">
        <v>15</v>
      </c>
      <c r="D33" s="123" t="s">
        <v>63</v>
      </c>
      <c r="E33" s="116" t="s">
        <v>33</v>
      </c>
      <c r="F33" s="116" t="s">
        <v>26</v>
      </c>
      <c r="G33" s="116"/>
      <c r="H33" s="116"/>
      <c r="I33" s="116"/>
      <c r="J33" s="116"/>
      <c r="K33" s="116"/>
      <c r="L33" s="116"/>
      <c r="M33" s="116"/>
      <c r="N33" s="116"/>
      <c r="O33" s="118"/>
    </row>
    <row r="34" ht="47.25" customHeight="1">
      <c r="A34" s="109">
        <f t="shared" si="3"/>
        <v>23</v>
      </c>
      <c r="B34" s="120" t="s">
        <v>83</v>
      </c>
      <c r="C34" s="111" t="s">
        <v>15</v>
      </c>
      <c r="D34" s="121" t="s">
        <v>63</v>
      </c>
      <c r="E34" s="111" t="s">
        <v>33</v>
      </c>
      <c r="F34" s="111" t="s">
        <v>26</v>
      </c>
      <c r="G34" s="111"/>
      <c r="H34" s="111"/>
      <c r="I34" s="111"/>
      <c r="J34" s="111"/>
      <c r="K34" s="111"/>
      <c r="L34" s="111"/>
      <c r="M34" s="111"/>
      <c r="N34" s="111"/>
      <c r="O34" s="113"/>
    </row>
    <row r="35" ht="47.25" customHeight="1">
      <c r="A35" s="114">
        <v>22.0</v>
      </c>
      <c r="B35" s="122" t="s">
        <v>82</v>
      </c>
      <c r="C35" s="116" t="s">
        <v>15</v>
      </c>
      <c r="D35" s="123" t="s">
        <v>63</v>
      </c>
      <c r="E35" s="116" t="s">
        <v>33</v>
      </c>
      <c r="F35" s="116" t="s">
        <v>26</v>
      </c>
      <c r="G35" s="116"/>
      <c r="H35" s="116"/>
      <c r="I35" s="116"/>
      <c r="J35" s="116"/>
      <c r="K35" s="116"/>
      <c r="L35" s="116"/>
      <c r="M35" s="116"/>
      <c r="N35" s="116"/>
      <c r="O35" s="118"/>
    </row>
    <row r="36" ht="47.25" customHeight="1">
      <c r="A36" s="109">
        <v>23.0</v>
      </c>
      <c r="B36" s="120" t="s">
        <v>83</v>
      </c>
      <c r="C36" s="111" t="s">
        <v>15</v>
      </c>
      <c r="D36" s="121" t="s">
        <v>63</v>
      </c>
      <c r="E36" s="111" t="s">
        <v>33</v>
      </c>
      <c r="F36" s="111" t="s">
        <v>26</v>
      </c>
      <c r="G36" s="111"/>
      <c r="H36" s="111"/>
      <c r="I36" s="111"/>
      <c r="J36" s="111"/>
      <c r="K36" s="111"/>
      <c r="L36" s="111"/>
      <c r="M36" s="111"/>
      <c r="N36" s="111"/>
      <c r="O36" s="113"/>
    </row>
    <row r="37" ht="47.25" customHeight="1">
      <c r="A37" s="114">
        <f t="shared" ref="A37:A41" si="4">A36+1</f>
        <v>24</v>
      </c>
      <c r="B37" s="122" t="s">
        <v>84</v>
      </c>
      <c r="C37" s="116" t="s">
        <v>15</v>
      </c>
      <c r="D37" s="123" t="s">
        <v>85</v>
      </c>
      <c r="E37" s="116" t="s">
        <v>14</v>
      </c>
      <c r="F37" s="116" t="s">
        <v>26</v>
      </c>
      <c r="G37" s="116" t="s">
        <v>24</v>
      </c>
      <c r="H37" s="116"/>
      <c r="I37" s="116"/>
      <c r="J37" s="116"/>
      <c r="K37" s="116"/>
      <c r="L37" s="116"/>
      <c r="M37" s="116"/>
      <c r="N37" s="116"/>
      <c r="O37" s="118"/>
    </row>
    <row r="38" ht="47.25" customHeight="1">
      <c r="A38" s="109">
        <f t="shared" si="4"/>
        <v>25</v>
      </c>
      <c r="B38" s="120" t="s">
        <v>86</v>
      </c>
      <c r="C38" s="111" t="s">
        <v>15</v>
      </c>
      <c r="D38" s="121" t="s">
        <v>87</v>
      </c>
      <c r="E38" s="111" t="s">
        <v>11</v>
      </c>
      <c r="F38" s="111" t="s">
        <v>26</v>
      </c>
      <c r="G38" s="111"/>
      <c r="H38" s="111"/>
      <c r="I38" s="111"/>
      <c r="J38" s="111"/>
      <c r="K38" s="111"/>
      <c r="L38" s="111"/>
      <c r="M38" s="111"/>
      <c r="N38" s="111"/>
      <c r="O38" s="113"/>
    </row>
    <row r="39" ht="47.25" customHeight="1">
      <c r="A39" s="114">
        <f t="shared" si="4"/>
        <v>26</v>
      </c>
      <c r="B39" s="122" t="s">
        <v>88</v>
      </c>
      <c r="C39" s="116" t="s">
        <v>15</v>
      </c>
      <c r="D39" s="123" t="s">
        <v>89</v>
      </c>
      <c r="E39" s="116" t="s">
        <v>20</v>
      </c>
      <c r="F39" s="116" t="s">
        <v>26</v>
      </c>
      <c r="G39" s="116"/>
      <c r="H39" s="116"/>
      <c r="I39" s="116"/>
      <c r="J39" s="116"/>
      <c r="K39" s="116"/>
      <c r="L39" s="116"/>
      <c r="M39" s="116"/>
      <c r="N39" s="116"/>
      <c r="O39" s="118"/>
    </row>
    <row r="40" ht="47.25" customHeight="1">
      <c r="A40" s="109">
        <f t="shared" si="4"/>
        <v>27</v>
      </c>
      <c r="B40" s="120" t="s">
        <v>90</v>
      </c>
      <c r="C40" s="111" t="s">
        <v>15</v>
      </c>
      <c r="D40" s="121" t="s">
        <v>91</v>
      </c>
      <c r="E40" s="111" t="s">
        <v>20</v>
      </c>
      <c r="F40" s="111" t="s">
        <v>26</v>
      </c>
      <c r="G40" s="111"/>
      <c r="H40" s="111"/>
      <c r="I40" s="111"/>
      <c r="J40" s="111"/>
      <c r="K40" s="111"/>
      <c r="L40" s="111"/>
      <c r="M40" s="111"/>
      <c r="N40" s="111"/>
      <c r="O40" s="113"/>
    </row>
    <row r="41" ht="47.25" customHeight="1">
      <c r="A41" s="114">
        <f t="shared" si="4"/>
        <v>28</v>
      </c>
      <c r="B41" s="122" t="s">
        <v>92</v>
      </c>
      <c r="C41" s="116" t="s">
        <v>15</v>
      </c>
      <c r="D41" s="123" t="s">
        <v>66</v>
      </c>
      <c r="E41" s="116" t="s">
        <v>36</v>
      </c>
      <c r="F41" s="116" t="s">
        <v>26</v>
      </c>
      <c r="G41" s="116"/>
      <c r="H41" s="116"/>
      <c r="I41" s="116"/>
      <c r="J41" s="116"/>
      <c r="K41" s="116"/>
      <c r="L41" s="116"/>
      <c r="M41" s="116"/>
      <c r="N41" s="116"/>
      <c r="O41" s="118"/>
    </row>
    <row r="42" ht="47.25" customHeight="1">
      <c r="A42" s="109">
        <v>29.0</v>
      </c>
      <c r="B42" s="120" t="s">
        <v>93</v>
      </c>
      <c r="C42" s="111" t="s">
        <v>15</v>
      </c>
      <c r="D42" s="121" t="s">
        <v>94</v>
      </c>
      <c r="E42" s="111" t="s">
        <v>33</v>
      </c>
      <c r="F42" s="111" t="s">
        <v>26</v>
      </c>
      <c r="G42" s="111"/>
      <c r="H42" s="111"/>
      <c r="I42" s="111"/>
      <c r="J42" s="111"/>
      <c r="K42" s="111"/>
      <c r="L42" s="111"/>
      <c r="M42" s="111"/>
      <c r="N42" s="111"/>
      <c r="O42" s="113"/>
    </row>
    <row r="43" ht="47.25" customHeight="1">
      <c r="A43" s="114">
        <v>29.0</v>
      </c>
      <c r="B43" s="122" t="s">
        <v>93</v>
      </c>
      <c r="C43" s="116" t="s">
        <v>15</v>
      </c>
      <c r="D43" s="123" t="s">
        <v>94</v>
      </c>
      <c r="E43" s="116" t="s">
        <v>33</v>
      </c>
      <c r="F43" s="116" t="s">
        <v>26</v>
      </c>
      <c r="G43" s="116"/>
      <c r="H43" s="116"/>
      <c r="I43" s="116"/>
      <c r="J43" s="116"/>
      <c r="K43" s="116"/>
      <c r="L43" s="116"/>
      <c r="M43" s="116"/>
      <c r="N43" s="116"/>
      <c r="O43" s="118"/>
    </row>
    <row r="44" ht="47.25" customHeight="1">
      <c r="A44" s="109">
        <f>A42+1</f>
        <v>30</v>
      </c>
      <c r="B44" s="120" t="s">
        <v>95</v>
      </c>
      <c r="C44" s="111" t="s">
        <v>15</v>
      </c>
      <c r="D44" s="121" t="s">
        <v>96</v>
      </c>
      <c r="E44" s="111" t="s">
        <v>23</v>
      </c>
      <c r="F44" s="111" t="s">
        <v>26</v>
      </c>
      <c r="G44" s="111"/>
      <c r="H44" s="111"/>
      <c r="I44" s="111"/>
      <c r="J44" s="111"/>
      <c r="K44" s="111"/>
      <c r="L44" s="111"/>
      <c r="M44" s="111"/>
      <c r="N44" s="111"/>
      <c r="O44" s="113"/>
    </row>
    <row r="45" ht="47.25" customHeight="1">
      <c r="A45" s="114">
        <v>31.0</v>
      </c>
      <c r="B45" s="122" t="s">
        <v>97</v>
      </c>
      <c r="C45" s="116" t="s">
        <v>15</v>
      </c>
      <c r="D45" s="123" t="s">
        <v>98</v>
      </c>
      <c r="E45" s="116" t="s">
        <v>33</v>
      </c>
      <c r="F45" s="116" t="s">
        <v>26</v>
      </c>
      <c r="G45" s="116"/>
      <c r="H45" s="116"/>
      <c r="I45" s="116"/>
      <c r="J45" s="116"/>
      <c r="K45" s="116"/>
      <c r="L45" s="116"/>
      <c r="M45" s="116"/>
      <c r="N45" s="116"/>
      <c r="O45" s="118"/>
    </row>
    <row r="46" ht="47.25" customHeight="1">
      <c r="A46" s="109">
        <f t="shared" ref="A46:A47" si="5">A44+1</f>
        <v>31</v>
      </c>
      <c r="B46" s="120" t="s">
        <v>99</v>
      </c>
      <c r="C46" s="111" t="s">
        <v>15</v>
      </c>
      <c r="D46" s="121" t="s">
        <v>98</v>
      </c>
      <c r="E46" s="111" t="s">
        <v>33</v>
      </c>
      <c r="F46" s="111" t="s">
        <v>26</v>
      </c>
      <c r="G46" s="111"/>
      <c r="H46" s="111"/>
      <c r="I46" s="111"/>
      <c r="J46" s="111"/>
      <c r="K46" s="111"/>
      <c r="L46" s="111"/>
      <c r="M46" s="111"/>
      <c r="N46" s="111"/>
      <c r="O46" s="113"/>
    </row>
    <row r="47" ht="47.25" customHeight="1">
      <c r="A47" s="114">
        <f t="shared" si="5"/>
        <v>32</v>
      </c>
      <c r="B47" s="122" t="s">
        <v>100</v>
      </c>
      <c r="C47" s="116" t="s">
        <v>15</v>
      </c>
      <c r="D47" s="123" t="s">
        <v>47</v>
      </c>
      <c r="E47" s="116" t="s">
        <v>14</v>
      </c>
      <c r="F47" s="116" t="s">
        <v>26</v>
      </c>
      <c r="G47" s="116"/>
      <c r="H47" s="116"/>
      <c r="I47" s="116"/>
      <c r="J47" s="116"/>
      <c r="K47" s="116"/>
      <c r="L47" s="116"/>
      <c r="M47" s="116"/>
      <c r="N47" s="116"/>
      <c r="O47" s="118"/>
    </row>
    <row r="48" ht="47.25" customHeight="1">
      <c r="A48" s="109">
        <f t="shared" ref="A48:A50" si="6">A47+1</f>
        <v>33</v>
      </c>
      <c r="B48" s="120" t="s">
        <v>101</v>
      </c>
      <c r="C48" s="111" t="s">
        <v>15</v>
      </c>
      <c r="D48" s="121" t="s">
        <v>102</v>
      </c>
      <c r="E48" s="111" t="s">
        <v>25</v>
      </c>
      <c r="F48" s="111" t="s">
        <v>26</v>
      </c>
      <c r="G48" s="111" t="s">
        <v>28</v>
      </c>
      <c r="H48" s="111"/>
      <c r="I48" s="111"/>
      <c r="J48" s="111"/>
      <c r="K48" s="111"/>
      <c r="L48" s="111"/>
      <c r="M48" s="111"/>
      <c r="N48" s="111"/>
      <c r="O48" s="113"/>
    </row>
    <row r="49" ht="47.25" customHeight="1">
      <c r="A49" s="114">
        <f t="shared" si="6"/>
        <v>34</v>
      </c>
      <c r="B49" s="122" t="s">
        <v>103</v>
      </c>
      <c r="C49" s="116" t="s">
        <v>15</v>
      </c>
      <c r="D49" s="123" t="s">
        <v>104</v>
      </c>
      <c r="E49" s="116" t="s">
        <v>33</v>
      </c>
      <c r="F49" s="116" t="s">
        <v>26</v>
      </c>
      <c r="G49" s="116" t="s">
        <v>28</v>
      </c>
      <c r="H49" s="116"/>
      <c r="I49" s="116"/>
      <c r="J49" s="116"/>
      <c r="K49" s="116"/>
      <c r="L49" s="116"/>
      <c r="M49" s="116"/>
      <c r="N49" s="116"/>
      <c r="O49" s="118"/>
    </row>
    <row r="50" ht="47.25" customHeight="1">
      <c r="A50" s="109">
        <f t="shared" si="6"/>
        <v>35</v>
      </c>
      <c r="B50" s="120" t="s">
        <v>105</v>
      </c>
      <c r="C50" s="111" t="s">
        <v>15</v>
      </c>
      <c r="D50" s="121" t="s">
        <v>94</v>
      </c>
      <c r="E50" s="111" t="s">
        <v>33</v>
      </c>
      <c r="F50" s="111" t="s">
        <v>26</v>
      </c>
      <c r="G50" s="111"/>
      <c r="H50" s="111"/>
      <c r="I50" s="111"/>
      <c r="J50" s="111"/>
      <c r="K50" s="111"/>
      <c r="L50" s="111"/>
      <c r="M50" s="111"/>
      <c r="N50" s="111"/>
      <c r="O50" s="113"/>
    </row>
    <row r="51" ht="47.25" customHeight="1">
      <c r="A51" s="114">
        <v>34.0</v>
      </c>
      <c r="B51" s="122" t="s">
        <v>103</v>
      </c>
      <c r="C51" s="116" t="s">
        <v>15</v>
      </c>
      <c r="D51" s="123" t="s">
        <v>104</v>
      </c>
      <c r="E51" s="116" t="s">
        <v>33</v>
      </c>
      <c r="F51" s="116" t="s">
        <v>26</v>
      </c>
      <c r="G51" s="116" t="s">
        <v>28</v>
      </c>
      <c r="H51" s="116"/>
      <c r="I51" s="116"/>
      <c r="J51" s="116"/>
      <c r="K51" s="116"/>
      <c r="L51" s="116"/>
      <c r="M51" s="116"/>
      <c r="N51" s="116"/>
      <c r="O51" s="118"/>
    </row>
    <row r="52" ht="47.25" customHeight="1">
      <c r="A52" s="109">
        <v>35.0</v>
      </c>
      <c r="B52" s="120" t="s">
        <v>105</v>
      </c>
      <c r="C52" s="111" t="s">
        <v>15</v>
      </c>
      <c r="D52" s="121" t="s">
        <v>94</v>
      </c>
      <c r="E52" s="111" t="s">
        <v>33</v>
      </c>
      <c r="F52" s="111" t="s">
        <v>26</v>
      </c>
      <c r="G52" s="111"/>
      <c r="H52" s="111"/>
      <c r="I52" s="111"/>
      <c r="J52" s="111"/>
      <c r="K52" s="111"/>
      <c r="L52" s="111"/>
      <c r="M52" s="111"/>
      <c r="N52" s="111"/>
      <c r="O52" s="113"/>
    </row>
    <row r="53" ht="47.25" customHeight="1">
      <c r="A53" s="114">
        <f t="shared" ref="A53:A54" si="7">A52+1</f>
        <v>36</v>
      </c>
      <c r="B53" s="122" t="s">
        <v>106</v>
      </c>
      <c r="C53" s="116" t="s">
        <v>15</v>
      </c>
      <c r="D53" s="123" t="s">
        <v>72</v>
      </c>
      <c r="E53" s="116" t="s">
        <v>11</v>
      </c>
      <c r="F53" s="116" t="s">
        <v>26</v>
      </c>
      <c r="G53" s="116"/>
      <c r="H53" s="116"/>
      <c r="I53" s="116"/>
      <c r="J53" s="116"/>
      <c r="K53" s="116"/>
      <c r="L53" s="116"/>
      <c r="M53" s="116"/>
      <c r="N53" s="116"/>
      <c r="O53" s="118"/>
    </row>
    <row r="54" ht="47.25" customHeight="1">
      <c r="A54" s="109">
        <f t="shared" si="7"/>
        <v>37</v>
      </c>
      <c r="B54" s="120" t="s">
        <v>107</v>
      </c>
      <c r="C54" s="111" t="s">
        <v>15</v>
      </c>
      <c r="D54" s="121" t="s">
        <v>108</v>
      </c>
      <c r="E54" s="111" t="s">
        <v>33</v>
      </c>
      <c r="F54" s="111" t="s">
        <v>26</v>
      </c>
      <c r="G54" s="111"/>
      <c r="H54" s="111"/>
      <c r="I54" s="111"/>
      <c r="J54" s="111"/>
      <c r="K54" s="111"/>
      <c r="L54" s="111"/>
      <c r="M54" s="111"/>
      <c r="N54" s="111"/>
      <c r="O54" s="113"/>
    </row>
    <row r="55" ht="47.25" customHeight="1">
      <c r="A55" s="114">
        <v>37.0</v>
      </c>
      <c r="B55" s="125" t="s">
        <v>107</v>
      </c>
      <c r="C55" s="116" t="s">
        <v>15</v>
      </c>
      <c r="D55" s="123" t="s">
        <v>108</v>
      </c>
      <c r="E55" s="116" t="s">
        <v>33</v>
      </c>
      <c r="F55" s="116" t="s">
        <v>26</v>
      </c>
      <c r="G55" s="116"/>
      <c r="H55" s="116"/>
      <c r="I55" s="116"/>
      <c r="J55" s="116"/>
      <c r="K55" s="116"/>
      <c r="L55" s="116"/>
      <c r="M55" s="116"/>
      <c r="N55" s="116"/>
      <c r="O55" s="118"/>
    </row>
    <row r="56" ht="47.25" customHeight="1">
      <c r="A56" s="109">
        <f t="shared" ref="A56:A58" si="8">A55+1</f>
        <v>38</v>
      </c>
      <c r="B56" s="120" t="s">
        <v>109</v>
      </c>
      <c r="C56" s="111" t="s">
        <v>15</v>
      </c>
      <c r="D56" s="121" t="s">
        <v>63</v>
      </c>
      <c r="E56" s="111" t="s">
        <v>11</v>
      </c>
      <c r="F56" s="111" t="s">
        <v>26</v>
      </c>
      <c r="G56" s="111"/>
      <c r="H56" s="111"/>
      <c r="I56" s="111"/>
      <c r="J56" s="111"/>
      <c r="K56" s="111"/>
      <c r="L56" s="111"/>
      <c r="M56" s="111"/>
      <c r="N56" s="111"/>
      <c r="O56" s="113"/>
    </row>
    <row r="57" ht="47.25" customHeight="1">
      <c r="A57" s="114">
        <f t="shared" si="8"/>
        <v>39</v>
      </c>
      <c r="B57" s="122" t="s">
        <v>110</v>
      </c>
      <c r="C57" s="116" t="s">
        <v>15</v>
      </c>
      <c r="D57" s="123" t="s">
        <v>111</v>
      </c>
      <c r="E57" s="116" t="s">
        <v>25</v>
      </c>
      <c r="F57" s="116" t="s">
        <v>26</v>
      </c>
      <c r="G57" s="116"/>
      <c r="H57" s="116"/>
      <c r="I57" s="116"/>
      <c r="J57" s="116"/>
      <c r="K57" s="116"/>
      <c r="L57" s="116"/>
      <c r="M57" s="116"/>
      <c r="N57" s="116"/>
      <c r="O57" s="118"/>
    </row>
    <row r="58" ht="47.25" customHeight="1">
      <c r="A58" s="109">
        <f t="shared" si="8"/>
        <v>40</v>
      </c>
      <c r="B58" s="120" t="s">
        <v>112</v>
      </c>
      <c r="C58" s="111" t="s">
        <v>15</v>
      </c>
      <c r="D58" s="121" t="s">
        <v>113</v>
      </c>
      <c r="E58" s="111" t="s">
        <v>33</v>
      </c>
      <c r="F58" s="111" t="s">
        <v>26</v>
      </c>
      <c r="G58" s="111"/>
      <c r="H58" s="111"/>
      <c r="I58" s="111"/>
      <c r="J58" s="111"/>
      <c r="K58" s="111"/>
      <c r="L58" s="111"/>
      <c r="M58" s="111"/>
      <c r="N58" s="111"/>
      <c r="O58" s="113"/>
    </row>
    <row r="59" ht="47.25" customHeight="1">
      <c r="A59" s="114">
        <v>40.0</v>
      </c>
      <c r="B59" s="122" t="s">
        <v>112</v>
      </c>
      <c r="C59" s="116" t="s">
        <v>15</v>
      </c>
      <c r="D59" s="123" t="s">
        <v>113</v>
      </c>
      <c r="E59" s="116" t="s">
        <v>33</v>
      </c>
      <c r="F59" s="116" t="s">
        <v>26</v>
      </c>
      <c r="G59" s="116"/>
      <c r="H59" s="116"/>
      <c r="I59" s="116"/>
      <c r="J59" s="116"/>
      <c r="K59" s="116"/>
      <c r="L59" s="116"/>
      <c r="M59" s="116"/>
      <c r="N59" s="116"/>
      <c r="O59" s="118"/>
    </row>
    <row r="60" ht="47.25" customHeight="1">
      <c r="A60" s="109">
        <f t="shared" ref="A60:A121" si="9">A59+1</f>
        <v>41</v>
      </c>
      <c r="B60" s="120" t="s">
        <v>114</v>
      </c>
      <c r="C60" s="111" t="s">
        <v>15</v>
      </c>
      <c r="D60" s="121" t="s">
        <v>115</v>
      </c>
      <c r="E60" s="111" t="s">
        <v>17</v>
      </c>
      <c r="F60" s="111" t="s">
        <v>26</v>
      </c>
      <c r="G60" s="111"/>
      <c r="H60" s="111"/>
      <c r="I60" s="111"/>
      <c r="J60" s="111"/>
      <c r="K60" s="111"/>
      <c r="L60" s="111"/>
      <c r="M60" s="111"/>
      <c r="N60" s="111"/>
      <c r="O60" s="113"/>
    </row>
    <row r="61" ht="47.25" customHeight="1">
      <c r="A61" s="114">
        <f t="shared" si="9"/>
        <v>42</v>
      </c>
      <c r="B61" s="122" t="s">
        <v>116</v>
      </c>
      <c r="C61" s="116" t="s">
        <v>15</v>
      </c>
      <c r="D61" s="123" t="s">
        <v>117</v>
      </c>
      <c r="E61" s="116" t="s">
        <v>14</v>
      </c>
      <c r="F61" s="116" t="s">
        <v>26</v>
      </c>
      <c r="G61" s="116"/>
      <c r="H61" s="116"/>
      <c r="I61" s="116"/>
      <c r="J61" s="116"/>
      <c r="K61" s="116"/>
      <c r="L61" s="116"/>
      <c r="M61" s="116"/>
      <c r="N61" s="116"/>
      <c r="O61" s="118"/>
    </row>
    <row r="62" ht="47.25" customHeight="1">
      <c r="A62" s="109">
        <f t="shared" si="9"/>
        <v>43</v>
      </c>
      <c r="B62" s="120" t="s">
        <v>118</v>
      </c>
      <c r="C62" s="111" t="s">
        <v>15</v>
      </c>
      <c r="D62" s="121" t="s">
        <v>119</v>
      </c>
      <c r="E62" s="111" t="s">
        <v>17</v>
      </c>
      <c r="F62" s="111" t="s">
        <v>26</v>
      </c>
      <c r="G62" s="111"/>
      <c r="H62" s="111"/>
      <c r="I62" s="111"/>
      <c r="J62" s="111"/>
      <c r="K62" s="111"/>
      <c r="L62" s="111"/>
      <c r="M62" s="111"/>
      <c r="N62" s="111"/>
      <c r="O62" s="113"/>
    </row>
    <row r="63" ht="47.25" customHeight="1">
      <c r="A63" s="114">
        <f t="shared" si="9"/>
        <v>44</v>
      </c>
      <c r="B63" s="122" t="s">
        <v>120</v>
      </c>
      <c r="C63" s="116" t="s">
        <v>15</v>
      </c>
      <c r="D63" s="123" t="s">
        <v>121</v>
      </c>
      <c r="E63" s="116" t="s">
        <v>11</v>
      </c>
      <c r="F63" s="116" t="s">
        <v>26</v>
      </c>
      <c r="G63" s="116"/>
      <c r="H63" s="116"/>
      <c r="I63" s="116"/>
      <c r="J63" s="116"/>
      <c r="K63" s="116"/>
      <c r="L63" s="116"/>
      <c r="M63" s="116"/>
      <c r="N63" s="116"/>
      <c r="O63" s="118"/>
    </row>
    <row r="64" ht="47.25" customHeight="1">
      <c r="A64" s="109">
        <f t="shared" si="9"/>
        <v>45</v>
      </c>
      <c r="B64" s="120" t="s">
        <v>122</v>
      </c>
      <c r="C64" s="111" t="s">
        <v>15</v>
      </c>
      <c r="D64" s="121" t="s">
        <v>123</v>
      </c>
      <c r="E64" s="111" t="s">
        <v>11</v>
      </c>
      <c r="F64" s="111" t="s">
        <v>26</v>
      </c>
      <c r="G64" s="111"/>
      <c r="H64" s="111"/>
      <c r="I64" s="111"/>
      <c r="J64" s="111"/>
      <c r="K64" s="111"/>
      <c r="L64" s="111"/>
      <c r="M64" s="111"/>
      <c r="N64" s="111"/>
      <c r="O64" s="113"/>
    </row>
    <row r="65" ht="47.25" customHeight="1">
      <c r="A65" s="114">
        <f t="shared" si="9"/>
        <v>46</v>
      </c>
      <c r="B65" s="122" t="s">
        <v>124</v>
      </c>
      <c r="C65" s="116" t="s">
        <v>15</v>
      </c>
      <c r="D65" s="123" t="s">
        <v>125</v>
      </c>
      <c r="E65" s="116" t="s">
        <v>17</v>
      </c>
      <c r="F65" s="116" t="s">
        <v>26</v>
      </c>
      <c r="G65" s="116"/>
      <c r="H65" s="116"/>
      <c r="I65" s="116"/>
      <c r="J65" s="116"/>
      <c r="K65" s="116"/>
      <c r="L65" s="116"/>
      <c r="M65" s="116"/>
      <c r="N65" s="116"/>
      <c r="O65" s="118"/>
    </row>
    <row r="66" ht="47.25" customHeight="1">
      <c r="A66" s="109">
        <f t="shared" si="9"/>
        <v>47</v>
      </c>
      <c r="B66" s="120" t="s">
        <v>126</v>
      </c>
      <c r="C66" s="111" t="s">
        <v>15</v>
      </c>
      <c r="D66" s="121" t="s">
        <v>127</v>
      </c>
      <c r="E66" s="111" t="s">
        <v>11</v>
      </c>
      <c r="F66" s="111" t="s">
        <v>26</v>
      </c>
      <c r="G66" s="111"/>
      <c r="H66" s="111"/>
      <c r="I66" s="111"/>
      <c r="J66" s="111"/>
      <c r="K66" s="111"/>
      <c r="L66" s="111"/>
      <c r="M66" s="111"/>
      <c r="N66" s="111"/>
      <c r="O66" s="113"/>
    </row>
    <row r="67" ht="47.25" customHeight="1">
      <c r="A67" s="114">
        <f t="shared" si="9"/>
        <v>48</v>
      </c>
      <c r="B67" s="122" t="s">
        <v>128</v>
      </c>
      <c r="C67" s="116" t="s">
        <v>15</v>
      </c>
      <c r="D67" s="123" t="s">
        <v>129</v>
      </c>
      <c r="E67" s="116" t="s">
        <v>23</v>
      </c>
      <c r="F67" s="116" t="s">
        <v>26</v>
      </c>
      <c r="G67" s="116"/>
      <c r="H67" s="116"/>
      <c r="I67" s="116"/>
      <c r="J67" s="116"/>
      <c r="K67" s="116"/>
      <c r="L67" s="116"/>
      <c r="M67" s="116"/>
      <c r="N67" s="116"/>
      <c r="O67" s="118"/>
    </row>
    <row r="68" ht="47.25" customHeight="1">
      <c r="A68" s="109">
        <f t="shared" si="9"/>
        <v>49</v>
      </c>
      <c r="B68" s="120" t="s">
        <v>130</v>
      </c>
      <c r="C68" s="111" t="s">
        <v>15</v>
      </c>
      <c r="D68" s="121" t="s">
        <v>131</v>
      </c>
      <c r="E68" s="111" t="s">
        <v>17</v>
      </c>
      <c r="F68" s="111" t="s">
        <v>26</v>
      </c>
      <c r="G68" s="111"/>
      <c r="H68" s="111"/>
      <c r="I68" s="111"/>
      <c r="J68" s="111"/>
      <c r="K68" s="111"/>
      <c r="L68" s="111"/>
      <c r="M68" s="111"/>
      <c r="N68" s="111"/>
      <c r="O68" s="113"/>
    </row>
    <row r="69" ht="47.25" customHeight="1">
      <c r="A69" s="114">
        <f t="shared" si="9"/>
        <v>50</v>
      </c>
      <c r="B69" s="122" t="s">
        <v>132</v>
      </c>
      <c r="C69" s="116" t="s">
        <v>15</v>
      </c>
      <c r="D69" s="123" t="s">
        <v>133</v>
      </c>
      <c r="E69" s="116" t="s">
        <v>14</v>
      </c>
      <c r="F69" s="116" t="s">
        <v>26</v>
      </c>
      <c r="G69" s="116"/>
      <c r="H69" s="116"/>
      <c r="I69" s="116"/>
      <c r="J69" s="116"/>
      <c r="K69" s="116"/>
      <c r="L69" s="116"/>
      <c r="M69" s="116"/>
      <c r="N69" s="116"/>
      <c r="O69" s="118"/>
    </row>
    <row r="70" ht="47.25" customHeight="1">
      <c r="A70" s="109">
        <f t="shared" si="9"/>
        <v>51</v>
      </c>
      <c r="B70" s="120" t="s">
        <v>134</v>
      </c>
      <c r="C70" s="111" t="s">
        <v>15</v>
      </c>
      <c r="D70" s="121" t="s">
        <v>135</v>
      </c>
      <c r="E70" s="111" t="s">
        <v>23</v>
      </c>
      <c r="F70" s="111" t="s">
        <v>26</v>
      </c>
      <c r="G70" s="111"/>
      <c r="H70" s="111"/>
      <c r="I70" s="111"/>
      <c r="J70" s="111"/>
      <c r="K70" s="111"/>
      <c r="L70" s="111"/>
      <c r="M70" s="111"/>
      <c r="N70" s="111"/>
      <c r="O70" s="113"/>
    </row>
    <row r="71" ht="47.25" customHeight="1">
      <c r="A71" s="114">
        <f t="shared" si="9"/>
        <v>52</v>
      </c>
      <c r="B71" s="122" t="s">
        <v>136</v>
      </c>
      <c r="C71" s="116" t="s">
        <v>15</v>
      </c>
      <c r="D71" s="123" t="s">
        <v>58</v>
      </c>
      <c r="E71" s="116" t="s">
        <v>20</v>
      </c>
      <c r="F71" s="116" t="s">
        <v>26</v>
      </c>
      <c r="G71" s="116"/>
      <c r="H71" s="116"/>
      <c r="I71" s="116"/>
      <c r="J71" s="116"/>
      <c r="K71" s="116"/>
      <c r="L71" s="116"/>
      <c r="M71" s="116"/>
      <c r="N71" s="116"/>
      <c r="O71" s="118"/>
    </row>
    <row r="72" ht="47.25" customHeight="1">
      <c r="A72" s="109">
        <f t="shared" si="9"/>
        <v>53</v>
      </c>
      <c r="B72" s="120" t="s">
        <v>137</v>
      </c>
      <c r="C72" s="111" t="s">
        <v>15</v>
      </c>
      <c r="D72" s="121" t="s">
        <v>138</v>
      </c>
      <c r="E72" s="111" t="s">
        <v>14</v>
      </c>
      <c r="F72" s="111" t="s">
        <v>26</v>
      </c>
      <c r="G72" s="111" t="s">
        <v>24</v>
      </c>
      <c r="H72" s="111"/>
      <c r="I72" s="111"/>
      <c r="J72" s="111"/>
      <c r="K72" s="111"/>
      <c r="L72" s="111"/>
      <c r="M72" s="111"/>
      <c r="N72" s="111"/>
      <c r="O72" s="113"/>
    </row>
    <row r="73" ht="47.25" customHeight="1">
      <c r="A73" s="114">
        <f t="shared" si="9"/>
        <v>54</v>
      </c>
      <c r="B73" s="122" t="s">
        <v>139</v>
      </c>
      <c r="C73" s="116" t="s">
        <v>15</v>
      </c>
      <c r="D73" s="123" t="s">
        <v>47</v>
      </c>
      <c r="E73" s="116" t="s">
        <v>17</v>
      </c>
      <c r="F73" s="116" t="s">
        <v>26</v>
      </c>
      <c r="G73" s="116"/>
      <c r="H73" s="116"/>
      <c r="I73" s="116"/>
      <c r="J73" s="116"/>
      <c r="K73" s="116"/>
      <c r="L73" s="116"/>
      <c r="M73" s="116"/>
      <c r="N73" s="116"/>
      <c r="O73" s="118"/>
    </row>
    <row r="74" ht="47.25" customHeight="1">
      <c r="A74" s="109">
        <f t="shared" si="9"/>
        <v>55</v>
      </c>
      <c r="B74" s="120" t="s">
        <v>140</v>
      </c>
      <c r="C74" s="111" t="s">
        <v>15</v>
      </c>
      <c r="D74" s="121" t="s">
        <v>141</v>
      </c>
      <c r="E74" s="111" t="s">
        <v>17</v>
      </c>
      <c r="F74" s="111" t="s">
        <v>26</v>
      </c>
      <c r="G74" s="111"/>
      <c r="H74" s="111"/>
      <c r="I74" s="111"/>
      <c r="J74" s="111"/>
      <c r="K74" s="111"/>
      <c r="L74" s="111"/>
      <c r="M74" s="111"/>
      <c r="N74" s="111"/>
      <c r="O74" s="113"/>
    </row>
    <row r="75" ht="47.25" customHeight="1">
      <c r="A75" s="114">
        <f t="shared" si="9"/>
        <v>56</v>
      </c>
      <c r="B75" s="122" t="s">
        <v>142</v>
      </c>
      <c r="C75" s="116" t="s">
        <v>15</v>
      </c>
      <c r="D75" s="123" t="s">
        <v>143</v>
      </c>
      <c r="E75" s="116" t="s">
        <v>20</v>
      </c>
      <c r="F75" s="116" t="s">
        <v>26</v>
      </c>
      <c r="G75" s="116"/>
      <c r="H75" s="116"/>
      <c r="I75" s="116"/>
      <c r="J75" s="116"/>
      <c r="K75" s="116"/>
      <c r="L75" s="116"/>
      <c r="M75" s="116"/>
      <c r="N75" s="116"/>
      <c r="O75" s="118"/>
    </row>
    <row r="76" ht="47.25" customHeight="1">
      <c r="A76" s="109">
        <f t="shared" si="9"/>
        <v>57</v>
      </c>
      <c r="B76" s="120" t="s">
        <v>144</v>
      </c>
      <c r="C76" s="111" t="s">
        <v>15</v>
      </c>
      <c r="D76" s="121" t="s">
        <v>145</v>
      </c>
      <c r="E76" s="111" t="s">
        <v>14</v>
      </c>
      <c r="F76" s="111" t="s">
        <v>26</v>
      </c>
      <c r="G76" s="111"/>
      <c r="H76" s="111"/>
      <c r="I76" s="111"/>
      <c r="J76" s="111"/>
      <c r="K76" s="111"/>
      <c r="L76" s="111"/>
      <c r="M76" s="111"/>
      <c r="N76" s="111"/>
      <c r="O76" s="113"/>
    </row>
    <row r="77" ht="47.25" customHeight="1">
      <c r="A77" s="114">
        <f t="shared" si="9"/>
        <v>58</v>
      </c>
      <c r="B77" s="122" t="s">
        <v>146</v>
      </c>
      <c r="C77" s="116" t="s">
        <v>15</v>
      </c>
      <c r="D77" s="123" t="s">
        <v>147</v>
      </c>
      <c r="E77" s="116" t="s">
        <v>14</v>
      </c>
      <c r="F77" s="116" t="s">
        <v>26</v>
      </c>
      <c r="G77" s="116" t="s">
        <v>24</v>
      </c>
      <c r="H77" s="116"/>
      <c r="I77" s="116"/>
      <c r="J77" s="116"/>
      <c r="K77" s="116"/>
      <c r="L77" s="116"/>
      <c r="M77" s="116"/>
      <c r="N77" s="116"/>
      <c r="O77" s="118"/>
    </row>
    <row r="78" ht="47.25" customHeight="1">
      <c r="A78" s="109">
        <f t="shared" si="9"/>
        <v>59</v>
      </c>
      <c r="B78" s="120" t="s">
        <v>148</v>
      </c>
      <c r="C78" s="111" t="s">
        <v>15</v>
      </c>
      <c r="D78" s="121" t="s">
        <v>127</v>
      </c>
      <c r="E78" s="111" t="s">
        <v>25</v>
      </c>
      <c r="F78" s="111" t="s">
        <v>26</v>
      </c>
      <c r="G78" s="111"/>
      <c r="H78" s="111"/>
      <c r="I78" s="111"/>
      <c r="J78" s="111"/>
      <c r="K78" s="111"/>
      <c r="L78" s="111"/>
      <c r="M78" s="111"/>
      <c r="N78" s="111"/>
      <c r="O78" s="113"/>
    </row>
    <row r="79" ht="47.25" customHeight="1">
      <c r="A79" s="114">
        <f t="shared" si="9"/>
        <v>60</v>
      </c>
      <c r="B79" s="122" t="s">
        <v>149</v>
      </c>
      <c r="C79" s="116" t="s">
        <v>15</v>
      </c>
      <c r="D79" s="123" t="s">
        <v>150</v>
      </c>
      <c r="E79" s="116" t="s">
        <v>17</v>
      </c>
      <c r="F79" s="116" t="s">
        <v>26</v>
      </c>
      <c r="G79" s="116"/>
      <c r="H79" s="116"/>
      <c r="I79" s="116"/>
      <c r="J79" s="116"/>
      <c r="K79" s="116"/>
      <c r="L79" s="116"/>
      <c r="M79" s="116"/>
      <c r="N79" s="116"/>
      <c r="O79" s="118"/>
    </row>
    <row r="80" ht="47.25" customHeight="1">
      <c r="A80" s="109">
        <f t="shared" si="9"/>
        <v>61</v>
      </c>
      <c r="B80" s="120" t="s">
        <v>151</v>
      </c>
      <c r="C80" s="111" t="s">
        <v>15</v>
      </c>
      <c r="D80" s="121" t="s">
        <v>152</v>
      </c>
      <c r="E80" s="111" t="s">
        <v>11</v>
      </c>
      <c r="F80" s="111" t="s">
        <v>26</v>
      </c>
      <c r="G80" s="111"/>
      <c r="H80" s="111"/>
      <c r="I80" s="111"/>
      <c r="J80" s="111"/>
      <c r="K80" s="111"/>
      <c r="L80" s="111"/>
      <c r="M80" s="111"/>
      <c r="N80" s="111"/>
      <c r="O80" s="113"/>
    </row>
    <row r="81" ht="47.25" customHeight="1">
      <c r="A81" s="114">
        <f t="shared" si="9"/>
        <v>62</v>
      </c>
      <c r="B81" s="122" t="s">
        <v>153</v>
      </c>
      <c r="C81" s="116" t="s">
        <v>15</v>
      </c>
      <c r="D81" s="123" t="s">
        <v>154</v>
      </c>
      <c r="E81" s="116" t="s">
        <v>20</v>
      </c>
      <c r="F81" s="116" t="s">
        <v>26</v>
      </c>
      <c r="G81" s="116"/>
      <c r="H81" s="116"/>
      <c r="I81" s="116"/>
      <c r="J81" s="116"/>
      <c r="K81" s="116"/>
      <c r="L81" s="116"/>
      <c r="M81" s="116"/>
      <c r="N81" s="116"/>
      <c r="O81" s="118"/>
    </row>
    <row r="82" ht="47.25" customHeight="1">
      <c r="A82" s="109">
        <f t="shared" si="9"/>
        <v>63</v>
      </c>
      <c r="B82" s="120" t="s">
        <v>155</v>
      </c>
      <c r="C82" s="111" t="s">
        <v>15</v>
      </c>
      <c r="D82" s="121" t="s">
        <v>113</v>
      </c>
      <c r="E82" s="111" t="s">
        <v>11</v>
      </c>
      <c r="F82" s="111" t="s">
        <v>26</v>
      </c>
      <c r="G82" s="111"/>
      <c r="H82" s="111"/>
      <c r="I82" s="111"/>
      <c r="J82" s="111"/>
      <c r="K82" s="111"/>
      <c r="L82" s="111"/>
      <c r="M82" s="111"/>
      <c r="N82" s="111"/>
      <c r="O82" s="113"/>
    </row>
    <row r="83" ht="47.25" customHeight="1">
      <c r="A83" s="114">
        <f t="shared" si="9"/>
        <v>64</v>
      </c>
      <c r="B83" s="122" t="s">
        <v>156</v>
      </c>
      <c r="C83" s="116" t="s">
        <v>15</v>
      </c>
      <c r="D83" s="123" t="s">
        <v>157</v>
      </c>
      <c r="E83" s="116" t="s">
        <v>25</v>
      </c>
      <c r="F83" s="116" t="s">
        <v>26</v>
      </c>
      <c r="G83" s="116"/>
      <c r="H83" s="116"/>
      <c r="I83" s="116"/>
      <c r="J83" s="116"/>
      <c r="K83" s="116"/>
      <c r="L83" s="116"/>
      <c r="M83" s="116"/>
      <c r="N83" s="116"/>
      <c r="O83" s="118"/>
    </row>
    <row r="84" ht="47.25" customHeight="1">
      <c r="A84" s="109">
        <f t="shared" si="9"/>
        <v>65</v>
      </c>
      <c r="B84" s="120" t="s">
        <v>158</v>
      </c>
      <c r="C84" s="111" t="s">
        <v>15</v>
      </c>
      <c r="D84" s="121" t="s">
        <v>159</v>
      </c>
      <c r="E84" s="111" t="s">
        <v>11</v>
      </c>
      <c r="F84" s="111" t="s">
        <v>26</v>
      </c>
      <c r="G84" s="111"/>
      <c r="H84" s="111"/>
      <c r="I84" s="111"/>
      <c r="J84" s="111"/>
      <c r="K84" s="111"/>
      <c r="L84" s="111"/>
      <c r="M84" s="111"/>
      <c r="N84" s="111"/>
      <c r="O84" s="113"/>
    </row>
    <row r="85" ht="47.25" customHeight="1">
      <c r="A85" s="114">
        <f t="shared" si="9"/>
        <v>66</v>
      </c>
      <c r="B85" s="126" t="s">
        <v>160</v>
      </c>
      <c r="C85" s="116" t="s">
        <v>15</v>
      </c>
      <c r="D85" s="123" t="s">
        <v>161</v>
      </c>
      <c r="E85" s="116" t="s">
        <v>14</v>
      </c>
      <c r="F85" s="116" t="s">
        <v>26</v>
      </c>
      <c r="G85" s="116"/>
      <c r="H85" s="116"/>
      <c r="I85" s="116"/>
      <c r="J85" s="116"/>
      <c r="K85" s="116"/>
      <c r="L85" s="116"/>
      <c r="M85" s="116"/>
      <c r="N85" s="116"/>
      <c r="O85" s="118"/>
    </row>
    <row r="86" ht="47.25" customHeight="1">
      <c r="A86" s="109">
        <f t="shared" si="9"/>
        <v>67</v>
      </c>
      <c r="B86" s="127" t="s">
        <v>162</v>
      </c>
      <c r="C86" s="111" t="s">
        <v>15</v>
      </c>
      <c r="D86" s="121" t="s">
        <v>127</v>
      </c>
      <c r="E86" s="111" t="s">
        <v>11</v>
      </c>
      <c r="F86" s="111" t="s">
        <v>26</v>
      </c>
      <c r="G86" s="111"/>
      <c r="H86" s="111"/>
      <c r="I86" s="111"/>
      <c r="J86" s="111"/>
      <c r="K86" s="111"/>
      <c r="L86" s="111"/>
      <c r="M86" s="111"/>
      <c r="N86" s="111"/>
      <c r="O86" s="113"/>
    </row>
    <row r="87" ht="47.25" customHeight="1">
      <c r="A87" s="114">
        <f t="shared" si="9"/>
        <v>68</v>
      </c>
      <c r="B87" s="126" t="s">
        <v>163</v>
      </c>
      <c r="C87" s="116" t="s">
        <v>15</v>
      </c>
      <c r="D87" s="123" t="s">
        <v>164</v>
      </c>
      <c r="E87" s="116" t="s">
        <v>14</v>
      </c>
      <c r="F87" s="116" t="s">
        <v>26</v>
      </c>
      <c r="G87" s="116"/>
      <c r="H87" s="116"/>
      <c r="I87" s="116"/>
      <c r="J87" s="116"/>
      <c r="K87" s="116"/>
      <c r="L87" s="116"/>
      <c r="M87" s="116"/>
      <c r="N87" s="116"/>
      <c r="O87" s="118"/>
    </row>
    <row r="88" ht="47.25" customHeight="1">
      <c r="A88" s="109">
        <f t="shared" si="9"/>
        <v>69</v>
      </c>
      <c r="B88" s="127" t="s">
        <v>165</v>
      </c>
      <c r="C88" s="111" t="s">
        <v>15</v>
      </c>
      <c r="D88" s="121" t="s">
        <v>166</v>
      </c>
      <c r="E88" s="111" t="s">
        <v>20</v>
      </c>
      <c r="F88" s="111" t="s">
        <v>26</v>
      </c>
      <c r="G88" s="111"/>
      <c r="H88" s="111"/>
      <c r="I88" s="111"/>
      <c r="J88" s="111"/>
      <c r="K88" s="111"/>
      <c r="L88" s="111"/>
      <c r="M88" s="111"/>
      <c r="N88" s="111"/>
      <c r="O88" s="113"/>
    </row>
    <row r="89" ht="47.25" customHeight="1">
      <c r="A89" s="114">
        <f t="shared" si="9"/>
        <v>70</v>
      </c>
      <c r="B89" s="126" t="s">
        <v>167</v>
      </c>
      <c r="C89" s="116" t="s">
        <v>15</v>
      </c>
      <c r="D89" s="123" t="s">
        <v>168</v>
      </c>
      <c r="E89" s="116" t="s">
        <v>33</v>
      </c>
      <c r="F89" s="116" t="s">
        <v>26</v>
      </c>
      <c r="G89" s="116"/>
      <c r="H89" s="116"/>
      <c r="I89" s="116"/>
      <c r="J89" s="116"/>
      <c r="K89" s="116"/>
      <c r="L89" s="116"/>
      <c r="M89" s="116"/>
      <c r="N89" s="116"/>
      <c r="O89" s="118"/>
    </row>
    <row r="90" ht="47.25" customHeight="1">
      <c r="A90" s="109">
        <f t="shared" si="9"/>
        <v>71</v>
      </c>
      <c r="B90" s="127" t="s">
        <v>169</v>
      </c>
      <c r="C90" s="111" t="s">
        <v>15</v>
      </c>
      <c r="D90" s="121" t="s">
        <v>170</v>
      </c>
      <c r="E90" s="111" t="s">
        <v>14</v>
      </c>
      <c r="F90" s="111" t="s">
        <v>26</v>
      </c>
      <c r="G90" s="111"/>
      <c r="H90" s="111"/>
      <c r="I90" s="111"/>
      <c r="J90" s="111"/>
      <c r="K90" s="111"/>
      <c r="L90" s="111"/>
      <c r="M90" s="111"/>
      <c r="N90" s="111"/>
      <c r="O90" s="113"/>
    </row>
    <row r="91" ht="47.25" customHeight="1">
      <c r="A91" s="114">
        <f t="shared" si="9"/>
        <v>72</v>
      </c>
      <c r="B91" s="126" t="s">
        <v>171</v>
      </c>
      <c r="C91" s="116" t="s">
        <v>15</v>
      </c>
      <c r="D91" s="123" t="s">
        <v>172</v>
      </c>
      <c r="E91" s="116" t="s">
        <v>25</v>
      </c>
      <c r="F91" s="116" t="s">
        <v>26</v>
      </c>
      <c r="G91" s="116" t="s">
        <v>24</v>
      </c>
      <c r="H91" s="116"/>
      <c r="I91" s="116"/>
      <c r="J91" s="116"/>
      <c r="K91" s="116"/>
      <c r="L91" s="116"/>
      <c r="M91" s="116"/>
      <c r="N91" s="116"/>
      <c r="O91" s="118"/>
    </row>
    <row r="92" ht="47.25" customHeight="1">
      <c r="A92" s="109">
        <f t="shared" si="9"/>
        <v>73</v>
      </c>
      <c r="B92" s="127" t="s">
        <v>173</v>
      </c>
      <c r="C92" s="111" t="s">
        <v>15</v>
      </c>
      <c r="D92" s="121" t="s">
        <v>174</v>
      </c>
      <c r="E92" s="111" t="s">
        <v>14</v>
      </c>
      <c r="F92" s="111" t="s">
        <v>26</v>
      </c>
      <c r="G92" s="111" t="s">
        <v>24</v>
      </c>
      <c r="H92" s="111"/>
      <c r="I92" s="111"/>
      <c r="J92" s="111"/>
      <c r="K92" s="111"/>
      <c r="L92" s="111"/>
      <c r="M92" s="111"/>
      <c r="N92" s="111"/>
      <c r="O92" s="113"/>
    </row>
    <row r="93" ht="47.25" customHeight="1">
      <c r="A93" s="114">
        <f t="shared" si="9"/>
        <v>74</v>
      </c>
      <c r="B93" s="126" t="s">
        <v>175</v>
      </c>
      <c r="C93" s="116" t="s">
        <v>15</v>
      </c>
      <c r="D93" s="123" t="s">
        <v>135</v>
      </c>
      <c r="E93" s="116" t="s">
        <v>25</v>
      </c>
      <c r="F93" s="116" t="s">
        <v>24</v>
      </c>
      <c r="G93" s="116"/>
      <c r="H93" s="116"/>
      <c r="I93" s="116"/>
      <c r="J93" s="116"/>
      <c r="K93" s="116"/>
      <c r="L93" s="116"/>
      <c r="M93" s="116"/>
      <c r="N93" s="116"/>
      <c r="O93" s="118"/>
    </row>
    <row r="94" ht="47.25" customHeight="1">
      <c r="A94" s="109">
        <f t="shared" si="9"/>
        <v>75</v>
      </c>
      <c r="B94" s="127" t="s">
        <v>176</v>
      </c>
      <c r="C94" s="111" t="s">
        <v>15</v>
      </c>
      <c r="D94" s="121" t="s">
        <v>177</v>
      </c>
      <c r="E94" s="111" t="s">
        <v>25</v>
      </c>
      <c r="F94" s="111" t="s">
        <v>24</v>
      </c>
      <c r="G94" s="111"/>
      <c r="H94" s="111"/>
      <c r="I94" s="111"/>
      <c r="J94" s="111"/>
      <c r="K94" s="111"/>
      <c r="L94" s="111"/>
      <c r="M94" s="111"/>
      <c r="N94" s="111"/>
      <c r="O94" s="113"/>
    </row>
    <row r="95" ht="47.25" customHeight="1">
      <c r="A95" s="114">
        <f t="shared" si="9"/>
        <v>76</v>
      </c>
      <c r="B95" s="126" t="s">
        <v>178</v>
      </c>
      <c r="C95" s="116" t="s">
        <v>15</v>
      </c>
      <c r="D95" s="123" t="s">
        <v>179</v>
      </c>
      <c r="E95" s="116" t="s">
        <v>23</v>
      </c>
      <c r="F95" s="116" t="s">
        <v>24</v>
      </c>
      <c r="G95" s="116"/>
      <c r="H95" s="116"/>
      <c r="I95" s="116"/>
      <c r="J95" s="116"/>
      <c r="K95" s="116"/>
      <c r="L95" s="116"/>
      <c r="M95" s="116"/>
      <c r="N95" s="116"/>
      <c r="O95" s="118"/>
    </row>
    <row r="96" ht="47.25" customHeight="1">
      <c r="A96" s="109">
        <f t="shared" si="9"/>
        <v>77</v>
      </c>
      <c r="B96" s="127" t="s">
        <v>180</v>
      </c>
      <c r="C96" s="111" t="s">
        <v>15</v>
      </c>
      <c r="D96" s="121" t="s">
        <v>181</v>
      </c>
      <c r="E96" s="111" t="s">
        <v>11</v>
      </c>
      <c r="F96" s="111" t="s">
        <v>24</v>
      </c>
      <c r="G96" s="111"/>
      <c r="H96" s="111"/>
      <c r="I96" s="111"/>
      <c r="J96" s="111"/>
      <c r="K96" s="111"/>
      <c r="L96" s="111"/>
      <c r="M96" s="111"/>
      <c r="N96" s="111"/>
      <c r="O96" s="113"/>
    </row>
    <row r="97" ht="47.25" customHeight="1">
      <c r="A97" s="114">
        <f t="shared" si="9"/>
        <v>78</v>
      </c>
      <c r="B97" s="126" t="s">
        <v>182</v>
      </c>
      <c r="C97" s="116" t="s">
        <v>15</v>
      </c>
      <c r="D97" s="123" t="s">
        <v>125</v>
      </c>
      <c r="E97" s="116" t="s">
        <v>14</v>
      </c>
      <c r="F97" s="116" t="s">
        <v>26</v>
      </c>
      <c r="G97" s="116" t="s">
        <v>24</v>
      </c>
      <c r="H97" s="116"/>
      <c r="I97" s="116"/>
      <c r="J97" s="116"/>
      <c r="K97" s="116"/>
      <c r="L97" s="116"/>
      <c r="M97" s="116"/>
      <c r="N97" s="116"/>
      <c r="O97" s="118"/>
    </row>
    <row r="98" ht="47.25" customHeight="1">
      <c r="A98" s="109">
        <f t="shared" si="9"/>
        <v>79</v>
      </c>
      <c r="B98" s="127" t="s">
        <v>183</v>
      </c>
      <c r="C98" s="111" t="s">
        <v>15</v>
      </c>
      <c r="D98" s="121" t="s">
        <v>184</v>
      </c>
      <c r="E98" s="111" t="s">
        <v>11</v>
      </c>
      <c r="F98" s="111" t="s">
        <v>26</v>
      </c>
      <c r="G98" s="111" t="s">
        <v>24</v>
      </c>
      <c r="H98" s="111"/>
      <c r="I98" s="111"/>
      <c r="J98" s="111"/>
      <c r="K98" s="111"/>
      <c r="L98" s="111"/>
      <c r="M98" s="111"/>
      <c r="N98" s="111"/>
      <c r="O98" s="113"/>
    </row>
    <row r="99" ht="47.25" customHeight="1">
      <c r="A99" s="114">
        <f t="shared" si="9"/>
        <v>80</v>
      </c>
      <c r="B99" s="126" t="s">
        <v>185</v>
      </c>
      <c r="C99" s="116" t="s">
        <v>15</v>
      </c>
      <c r="D99" s="123" t="s">
        <v>186</v>
      </c>
      <c r="E99" s="116" t="s">
        <v>11</v>
      </c>
      <c r="F99" s="116" t="s">
        <v>26</v>
      </c>
      <c r="G99" s="116" t="s">
        <v>24</v>
      </c>
      <c r="H99" s="116"/>
      <c r="I99" s="116"/>
      <c r="J99" s="116"/>
      <c r="K99" s="116"/>
      <c r="L99" s="116"/>
      <c r="M99" s="116"/>
      <c r="N99" s="116"/>
      <c r="O99" s="118"/>
    </row>
    <row r="100" ht="47.25" customHeight="1">
      <c r="A100" s="109">
        <f t="shared" si="9"/>
        <v>81</v>
      </c>
      <c r="B100" s="127" t="s">
        <v>187</v>
      </c>
      <c r="C100" s="111" t="s">
        <v>15</v>
      </c>
      <c r="D100" s="121" t="s">
        <v>188</v>
      </c>
      <c r="E100" s="111" t="s">
        <v>33</v>
      </c>
      <c r="F100" s="111" t="s">
        <v>26</v>
      </c>
      <c r="G100" s="111" t="s">
        <v>24</v>
      </c>
      <c r="H100" s="111"/>
      <c r="I100" s="111"/>
      <c r="J100" s="111"/>
      <c r="K100" s="111"/>
      <c r="L100" s="111"/>
      <c r="M100" s="111"/>
      <c r="N100" s="111"/>
      <c r="O100" s="113"/>
    </row>
    <row r="101" ht="47.25" customHeight="1">
      <c r="A101" s="114">
        <f t="shared" si="9"/>
        <v>82</v>
      </c>
      <c r="B101" s="126" t="s">
        <v>189</v>
      </c>
      <c r="C101" s="116" t="s">
        <v>15</v>
      </c>
      <c r="D101" s="123" t="s">
        <v>125</v>
      </c>
      <c r="E101" s="116" t="s">
        <v>25</v>
      </c>
      <c r="F101" s="116" t="s">
        <v>26</v>
      </c>
      <c r="G101" s="116" t="s">
        <v>24</v>
      </c>
      <c r="H101" s="116"/>
      <c r="I101" s="116"/>
      <c r="J101" s="116"/>
      <c r="K101" s="116"/>
      <c r="L101" s="116"/>
      <c r="M101" s="116"/>
      <c r="N101" s="116"/>
      <c r="O101" s="118"/>
    </row>
    <row r="102" ht="47.25" customHeight="1">
      <c r="A102" s="109">
        <f t="shared" si="9"/>
        <v>83</v>
      </c>
      <c r="B102" s="127" t="s">
        <v>190</v>
      </c>
      <c r="C102" s="111" t="s">
        <v>15</v>
      </c>
      <c r="D102" s="121" t="s">
        <v>191</v>
      </c>
      <c r="E102" s="111" t="s">
        <v>11</v>
      </c>
      <c r="F102" s="111" t="s">
        <v>26</v>
      </c>
      <c r="G102" s="111" t="s">
        <v>24</v>
      </c>
      <c r="H102" s="111"/>
      <c r="I102" s="111"/>
      <c r="J102" s="111"/>
      <c r="K102" s="111"/>
      <c r="L102" s="111"/>
      <c r="M102" s="111"/>
      <c r="N102" s="111"/>
      <c r="O102" s="113"/>
    </row>
    <row r="103" ht="47.25" customHeight="1">
      <c r="A103" s="114">
        <f t="shared" si="9"/>
        <v>84</v>
      </c>
      <c r="B103" s="126" t="s">
        <v>192</v>
      </c>
      <c r="C103" s="116" t="s">
        <v>15</v>
      </c>
      <c r="D103" s="123" t="s">
        <v>191</v>
      </c>
      <c r="E103" s="116" t="s">
        <v>11</v>
      </c>
      <c r="F103" s="116" t="s">
        <v>26</v>
      </c>
      <c r="G103" s="116" t="s">
        <v>24</v>
      </c>
      <c r="H103" s="116"/>
      <c r="I103" s="116"/>
      <c r="J103" s="116"/>
      <c r="K103" s="116"/>
      <c r="L103" s="116"/>
      <c r="M103" s="116"/>
      <c r="N103" s="116"/>
      <c r="O103" s="118"/>
    </row>
    <row r="104" ht="47.25" customHeight="1">
      <c r="A104" s="109">
        <f t="shared" si="9"/>
        <v>85</v>
      </c>
      <c r="B104" s="127" t="s">
        <v>193</v>
      </c>
      <c r="C104" s="111" t="s">
        <v>15</v>
      </c>
      <c r="D104" s="121" t="s">
        <v>87</v>
      </c>
      <c r="E104" s="111" t="s">
        <v>14</v>
      </c>
      <c r="F104" s="111" t="s">
        <v>26</v>
      </c>
      <c r="G104" s="111" t="s">
        <v>24</v>
      </c>
      <c r="H104" s="111"/>
      <c r="I104" s="111"/>
      <c r="J104" s="111"/>
      <c r="K104" s="111"/>
      <c r="L104" s="111"/>
      <c r="M104" s="111"/>
      <c r="N104" s="111"/>
      <c r="O104" s="113"/>
    </row>
    <row r="105" ht="47.25" customHeight="1">
      <c r="A105" s="114">
        <f t="shared" si="9"/>
        <v>86</v>
      </c>
      <c r="B105" s="126" t="s">
        <v>194</v>
      </c>
      <c r="C105" s="116" t="s">
        <v>15</v>
      </c>
      <c r="D105" s="123" t="s">
        <v>195</v>
      </c>
      <c r="E105" s="116" t="s">
        <v>33</v>
      </c>
      <c r="F105" s="116" t="s">
        <v>26</v>
      </c>
      <c r="G105" s="116" t="s">
        <v>24</v>
      </c>
      <c r="H105" s="116"/>
      <c r="I105" s="116"/>
      <c r="J105" s="116"/>
      <c r="K105" s="116"/>
      <c r="L105" s="116"/>
      <c r="M105" s="116"/>
      <c r="N105" s="116"/>
      <c r="O105" s="118"/>
    </row>
    <row r="106" ht="47.25" customHeight="1">
      <c r="A106" s="109">
        <f t="shared" si="9"/>
        <v>87</v>
      </c>
      <c r="B106" s="127" t="s">
        <v>196</v>
      </c>
      <c r="C106" s="111" t="s">
        <v>15</v>
      </c>
      <c r="D106" s="121" t="s">
        <v>197</v>
      </c>
      <c r="E106" s="111" t="s">
        <v>14</v>
      </c>
      <c r="F106" s="111" t="s">
        <v>26</v>
      </c>
      <c r="G106" s="111" t="s">
        <v>24</v>
      </c>
      <c r="H106" s="111"/>
      <c r="I106" s="111"/>
      <c r="J106" s="111"/>
      <c r="K106" s="111"/>
      <c r="L106" s="111"/>
      <c r="M106" s="111"/>
      <c r="N106" s="111"/>
      <c r="O106" s="113"/>
    </row>
    <row r="107" ht="47.25" customHeight="1">
      <c r="A107" s="114">
        <f t="shared" si="9"/>
        <v>88</v>
      </c>
      <c r="B107" s="128" t="s">
        <v>198</v>
      </c>
      <c r="C107" s="116" t="s">
        <v>15</v>
      </c>
      <c r="D107" s="129" t="s">
        <v>199</v>
      </c>
      <c r="E107" s="116" t="s">
        <v>11</v>
      </c>
      <c r="F107" s="116" t="s">
        <v>26</v>
      </c>
      <c r="G107" s="116" t="s">
        <v>28</v>
      </c>
      <c r="H107" s="116"/>
      <c r="I107" s="116"/>
      <c r="J107" s="116"/>
      <c r="K107" s="116"/>
      <c r="L107" s="116"/>
      <c r="M107" s="116"/>
      <c r="N107" s="116"/>
      <c r="O107" s="118"/>
    </row>
    <row r="108" ht="47.25" customHeight="1">
      <c r="A108" s="109">
        <f t="shared" si="9"/>
        <v>89</v>
      </c>
      <c r="B108" s="127" t="s">
        <v>200</v>
      </c>
      <c r="C108" s="111" t="s">
        <v>15</v>
      </c>
      <c r="D108" s="121" t="s">
        <v>201</v>
      </c>
      <c r="E108" s="111" t="s">
        <v>11</v>
      </c>
      <c r="F108" s="111" t="s">
        <v>26</v>
      </c>
      <c r="G108" s="111" t="s">
        <v>28</v>
      </c>
      <c r="H108" s="111"/>
      <c r="I108" s="111"/>
      <c r="J108" s="111"/>
      <c r="K108" s="111"/>
      <c r="L108" s="111"/>
      <c r="M108" s="111"/>
      <c r="N108" s="111"/>
      <c r="O108" s="113"/>
    </row>
    <row r="109" ht="47.25" customHeight="1">
      <c r="A109" s="114">
        <f t="shared" si="9"/>
        <v>90</v>
      </c>
      <c r="B109" s="126" t="s">
        <v>202</v>
      </c>
      <c r="C109" s="116" t="s">
        <v>15</v>
      </c>
      <c r="D109" s="123" t="s">
        <v>203</v>
      </c>
      <c r="E109" s="116" t="s">
        <v>20</v>
      </c>
      <c r="F109" s="116" t="s">
        <v>26</v>
      </c>
      <c r="G109" s="116" t="s">
        <v>28</v>
      </c>
      <c r="H109" s="116"/>
      <c r="I109" s="116"/>
      <c r="J109" s="116"/>
      <c r="K109" s="116"/>
      <c r="L109" s="116"/>
      <c r="M109" s="116"/>
      <c r="N109" s="116"/>
      <c r="O109" s="118"/>
    </row>
    <row r="110" ht="47.25" customHeight="1">
      <c r="A110" s="109">
        <f t="shared" si="9"/>
        <v>91</v>
      </c>
      <c r="B110" s="127" t="s">
        <v>204</v>
      </c>
      <c r="C110" s="111" t="s">
        <v>15</v>
      </c>
      <c r="D110" s="121" t="s">
        <v>199</v>
      </c>
      <c r="E110" s="111" t="s">
        <v>14</v>
      </c>
      <c r="F110" s="111" t="s">
        <v>26</v>
      </c>
      <c r="G110" s="111"/>
      <c r="H110" s="111"/>
      <c r="I110" s="111"/>
      <c r="J110" s="111"/>
      <c r="K110" s="111"/>
      <c r="L110" s="111"/>
      <c r="M110" s="111"/>
      <c r="N110" s="111"/>
      <c r="O110" s="113"/>
    </row>
    <row r="111" ht="47.25" customHeight="1">
      <c r="A111" s="114">
        <f t="shared" si="9"/>
        <v>92</v>
      </c>
      <c r="B111" s="122" t="s">
        <v>205</v>
      </c>
      <c r="C111" s="116" t="s">
        <v>15</v>
      </c>
      <c r="D111" s="123" t="s">
        <v>206</v>
      </c>
      <c r="E111" s="116" t="s">
        <v>14</v>
      </c>
      <c r="F111" s="116" t="s">
        <v>26</v>
      </c>
      <c r="G111" s="116"/>
      <c r="H111" s="116"/>
      <c r="I111" s="116"/>
      <c r="J111" s="116"/>
      <c r="K111" s="116"/>
      <c r="L111" s="116"/>
      <c r="M111" s="116"/>
      <c r="N111" s="116"/>
      <c r="O111" s="118"/>
    </row>
    <row r="112" ht="47.25" customHeight="1">
      <c r="A112" s="109">
        <f t="shared" si="9"/>
        <v>93</v>
      </c>
      <c r="B112" s="120" t="s">
        <v>207</v>
      </c>
      <c r="C112" s="111" t="s">
        <v>15</v>
      </c>
      <c r="D112" s="121" t="s">
        <v>208</v>
      </c>
      <c r="E112" s="111" t="s">
        <v>14</v>
      </c>
      <c r="F112" s="111" t="s">
        <v>26</v>
      </c>
      <c r="G112" s="111"/>
      <c r="H112" s="111"/>
      <c r="I112" s="111"/>
      <c r="J112" s="111"/>
      <c r="K112" s="111"/>
      <c r="L112" s="111"/>
      <c r="M112" s="111"/>
      <c r="N112" s="111"/>
      <c r="O112" s="113"/>
    </row>
    <row r="113" ht="47.25" customHeight="1">
      <c r="A113" s="114">
        <f t="shared" si="9"/>
        <v>94</v>
      </c>
      <c r="B113" s="122" t="s">
        <v>209</v>
      </c>
      <c r="C113" s="116" t="s">
        <v>15</v>
      </c>
      <c r="D113" s="123" t="s">
        <v>210</v>
      </c>
      <c r="E113" s="116" t="s">
        <v>36</v>
      </c>
      <c r="F113" s="116" t="s">
        <v>26</v>
      </c>
      <c r="G113" s="116"/>
      <c r="H113" s="116"/>
      <c r="I113" s="116"/>
      <c r="J113" s="116"/>
      <c r="K113" s="116"/>
      <c r="L113" s="116"/>
      <c r="M113" s="116"/>
      <c r="N113" s="116"/>
      <c r="O113" s="118"/>
    </row>
    <row r="114" ht="47.25" customHeight="1">
      <c r="A114" s="109">
        <f t="shared" si="9"/>
        <v>95</v>
      </c>
      <c r="B114" s="120" t="s">
        <v>211</v>
      </c>
      <c r="C114" s="111" t="s">
        <v>15</v>
      </c>
      <c r="D114" s="121" t="s">
        <v>135</v>
      </c>
      <c r="E114" s="111" t="s">
        <v>36</v>
      </c>
      <c r="F114" s="111" t="s">
        <v>26</v>
      </c>
      <c r="G114" s="111"/>
      <c r="H114" s="111"/>
      <c r="I114" s="111"/>
      <c r="J114" s="111"/>
      <c r="K114" s="111"/>
      <c r="L114" s="111"/>
      <c r="M114" s="111"/>
      <c r="N114" s="111"/>
      <c r="O114" s="113"/>
    </row>
    <row r="115" ht="47.25" customHeight="1">
      <c r="A115" s="114">
        <f t="shared" si="9"/>
        <v>96</v>
      </c>
      <c r="B115" s="122" t="s">
        <v>212</v>
      </c>
      <c r="C115" s="116" t="s">
        <v>15</v>
      </c>
      <c r="D115" s="123" t="s">
        <v>168</v>
      </c>
      <c r="E115" s="116" t="s">
        <v>36</v>
      </c>
      <c r="F115" s="116" t="s">
        <v>26</v>
      </c>
      <c r="G115" s="116"/>
      <c r="H115" s="116"/>
      <c r="I115" s="116"/>
      <c r="J115" s="116"/>
      <c r="K115" s="116"/>
      <c r="L115" s="116"/>
      <c r="M115" s="116"/>
      <c r="N115" s="116"/>
      <c r="O115" s="118"/>
    </row>
    <row r="116" ht="47.25" customHeight="1">
      <c r="A116" s="109">
        <f t="shared" si="9"/>
        <v>97</v>
      </c>
      <c r="B116" s="120" t="s">
        <v>213</v>
      </c>
      <c r="C116" s="111" t="s">
        <v>15</v>
      </c>
      <c r="D116" s="121" t="s">
        <v>214</v>
      </c>
      <c r="E116" s="111" t="s">
        <v>36</v>
      </c>
      <c r="F116" s="111" t="s">
        <v>26</v>
      </c>
      <c r="G116" s="111"/>
      <c r="H116" s="111"/>
      <c r="I116" s="111"/>
      <c r="J116" s="111"/>
      <c r="K116" s="111"/>
      <c r="L116" s="111"/>
      <c r="M116" s="111"/>
      <c r="N116" s="111"/>
      <c r="O116" s="113"/>
    </row>
    <row r="117" ht="47.25" customHeight="1">
      <c r="A117" s="114">
        <f t="shared" si="9"/>
        <v>98</v>
      </c>
      <c r="B117" s="122" t="s">
        <v>215</v>
      </c>
      <c r="C117" s="116" t="s">
        <v>15</v>
      </c>
      <c r="D117" s="123" t="s">
        <v>216</v>
      </c>
      <c r="E117" s="116" t="s">
        <v>36</v>
      </c>
      <c r="F117" s="116" t="s">
        <v>26</v>
      </c>
      <c r="G117" s="116"/>
      <c r="H117" s="116"/>
      <c r="I117" s="116"/>
      <c r="J117" s="116"/>
      <c r="K117" s="116"/>
      <c r="L117" s="116"/>
      <c r="M117" s="116"/>
      <c r="N117" s="116"/>
      <c r="O117" s="118"/>
    </row>
    <row r="118" ht="47.25" customHeight="1">
      <c r="A118" s="109">
        <f t="shared" si="9"/>
        <v>99</v>
      </c>
      <c r="B118" s="120" t="s">
        <v>217</v>
      </c>
      <c r="C118" s="111" t="s">
        <v>15</v>
      </c>
      <c r="D118" s="121" t="s">
        <v>218</v>
      </c>
      <c r="E118" s="111" t="s">
        <v>36</v>
      </c>
      <c r="F118" s="111" t="s">
        <v>26</v>
      </c>
      <c r="G118" s="111"/>
      <c r="H118" s="111"/>
      <c r="I118" s="111"/>
      <c r="J118" s="111"/>
      <c r="K118" s="111"/>
      <c r="L118" s="111"/>
      <c r="M118" s="111"/>
      <c r="N118" s="111"/>
      <c r="O118" s="113"/>
    </row>
    <row r="119" ht="47.25" customHeight="1">
      <c r="A119" s="114">
        <f t="shared" si="9"/>
        <v>100</v>
      </c>
      <c r="B119" s="128" t="s">
        <v>219</v>
      </c>
      <c r="C119" s="116" t="s">
        <v>15</v>
      </c>
      <c r="D119" s="123" t="s">
        <v>220</v>
      </c>
      <c r="E119" s="116" t="s">
        <v>36</v>
      </c>
      <c r="F119" s="116" t="s">
        <v>26</v>
      </c>
      <c r="G119" s="116"/>
      <c r="H119" s="116"/>
      <c r="I119" s="116"/>
      <c r="J119" s="116"/>
      <c r="K119" s="116"/>
      <c r="L119" s="116"/>
      <c r="M119" s="116"/>
      <c r="N119" s="116"/>
      <c r="O119" s="118"/>
    </row>
    <row r="120" ht="47.25" customHeight="1">
      <c r="A120" s="109">
        <f t="shared" si="9"/>
        <v>101</v>
      </c>
      <c r="B120" s="120" t="s">
        <v>221</v>
      </c>
      <c r="C120" s="111" t="s">
        <v>15</v>
      </c>
      <c r="D120" s="121" t="s">
        <v>222</v>
      </c>
      <c r="E120" s="111" t="s">
        <v>36</v>
      </c>
      <c r="F120" s="111" t="s">
        <v>26</v>
      </c>
      <c r="G120" s="111"/>
      <c r="H120" s="111"/>
      <c r="I120" s="111"/>
      <c r="J120" s="111"/>
      <c r="K120" s="111"/>
      <c r="L120" s="111"/>
      <c r="M120" s="111"/>
      <c r="N120" s="111"/>
      <c r="O120" s="113"/>
    </row>
    <row r="121" ht="47.25" customHeight="1">
      <c r="A121" s="114">
        <f t="shared" si="9"/>
        <v>102</v>
      </c>
      <c r="B121" s="122" t="s">
        <v>223</v>
      </c>
      <c r="C121" s="116" t="s">
        <v>15</v>
      </c>
      <c r="D121" s="123" t="s">
        <v>224</v>
      </c>
      <c r="E121" s="116" t="s">
        <v>36</v>
      </c>
      <c r="F121" s="116" t="s">
        <v>26</v>
      </c>
      <c r="G121" s="116"/>
      <c r="H121" s="116"/>
      <c r="I121" s="116"/>
      <c r="J121" s="116"/>
      <c r="K121" s="116"/>
      <c r="L121" s="116"/>
      <c r="M121" s="116"/>
      <c r="N121" s="116"/>
      <c r="O121" s="118"/>
    </row>
    <row r="122" ht="47.25" customHeight="1">
      <c r="A122" s="109">
        <v>103.0</v>
      </c>
      <c r="B122" s="130" t="s">
        <v>225</v>
      </c>
      <c r="C122" s="111" t="s">
        <v>15</v>
      </c>
      <c r="D122" s="131" t="s">
        <v>203</v>
      </c>
      <c r="E122" s="111" t="s">
        <v>14</v>
      </c>
      <c r="F122" s="111" t="s">
        <v>26</v>
      </c>
      <c r="G122" s="111"/>
      <c r="H122" s="111"/>
      <c r="I122" s="111"/>
      <c r="J122" s="111"/>
      <c r="K122" s="111"/>
      <c r="L122" s="111"/>
      <c r="M122" s="111"/>
      <c r="N122" s="111"/>
      <c r="O122" s="113"/>
    </row>
    <row r="123" ht="47.25" customHeight="1">
      <c r="A123" s="114">
        <f>A121+1</f>
        <v>103</v>
      </c>
      <c r="B123" s="132" t="s">
        <v>226</v>
      </c>
      <c r="C123" s="116" t="s">
        <v>21</v>
      </c>
      <c r="D123" s="133" t="s">
        <v>227</v>
      </c>
      <c r="E123" s="116" t="s">
        <v>17</v>
      </c>
      <c r="F123" s="116" t="s">
        <v>19</v>
      </c>
      <c r="G123" s="116" t="s">
        <v>35</v>
      </c>
      <c r="H123" s="116" t="s">
        <v>13</v>
      </c>
      <c r="I123" s="116"/>
      <c r="J123" s="116"/>
      <c r="K123" s="116"/>
      <c r="L123" s="116"/>
      <c r="M123" s="116"/>
      <c r="N123" s="116"/>
      <c r="O123" s="118"/>
    </row>
    <row r="124" ht="47.25" customHeight="1">
      <c r="A124" s="109">
        <f t="shared" ref="A124:A243" si="10">A123+1</f>
        <v>104</v>
      </c>
      <c r="B124" s="134" t="s">
        <v>228</v>
      </c>
      <c r="C124" s="111" t="s">
        <v>21</v>
      </c>
      <c r="D124" s="135" t="s">
        <v>229</v>
      </c>
      <c r="E124" s="111" t="s">
        <v>25</v>
      </c>
      <c r="F124" s="111" t="s">
        <v>13</v>
      </c>
      <c r="G124" s="111"/>
      <c r="H124" s="111"/>
      <c r="I124" s="111"/>
      <c r="J124" s="111"/>
      <c r="K124" s="111"/>
      <c r="L124" s="111"/>
      <c r="M124" s="111"/>
      <c r="N124" s="111"/>
      <c r="O124" s="113"/>
    </row>
    <row r="125" ht="47.25" customHeight="1">
      <c r="A125" s="114">
        <f t="shared" si="10"/>
        <v>105</v>
      </c>
      <c r="B125" s="132" t="s">
        <v>230</v>
      </c>
      <c r="C125" s="116" t="s">
        <v>21</v>
      </c>
      <c r="D125" s="133" t="s">
        <v>231</v>
      </c>
      <c r="E125" s="116" t="s">
        <v>17</v>
      </c>
      <c r="F125" s="116" t="s">
        <v>13</v>
      </c>
      <c r="G125" s="116"/>
      <c r="H125" s="116"/>
      <c r="I125" s="116"/>
      <c r="J125" s="116"/>
      <c r="K125" s="116"/>
      <c r="L125" s="116"/>
      <c r="M125" s="116"/>
      <c r="N125" s="116"/>
      <c r="O125" s="118"/>
    </row>
    <row r="126" ht="47.25" customHeight="1">
      <c r="A126" s="109">
        <f t="shared" si="10"/>
        <v>106</v>
      </c>
      <c r="B126" s="134" t="s">
        <v>232</v>
      </c>
      <c r="C126" s="111" t="s">
        <v>21</v>
      </c>
      <c r="D126" s="135" t="s">
        <v>233</v>
      </c>
      <c r="E126" s="111" t="s">
        <v>23</v>
      </c>
      <c r="F126" s="111" t="s">
        <v>13</v>
      </c>
      <c r="G126" s="111"/>
      <c r="H126" s="111"/>
      <c r="I126" s="111"/>
      <c r="J126" s="111"/>
      <c r="K126" s="111"/>
      <c r="L126" s="111"/>
      <c r="M126" s="111"/>
      <c r="N126" s="111"/>
      <c r="O126" s="113"/>
    </row>
    <row r="127" ht="47.25" customHeight="1">
      <c r="A127" s="114">
        <f t="shared" si="10"/>
        <v>107</v>
      </c>
      <c r="B127" s="132" t="s">
        <v>234</v>
      </c>
      <c r="C127" s="116" t="s">
        <v>15</v>
      </c>
      <c r="D127" s="133" t="s">
        <v>222</v>
      </c>
      <c r="E127" s="116" t="s">
        <v>20</v>
      </c>
      <c r="F127" s="116" t="s">
        <v>26</v>
      </c>
      <c r="G127" s="116"/>
      <c r="H127" s="116"/>
      <c r="I127" s="116"/>
      <c r="J127" s="116"/>
      <c r="K127" s="116"/>
      <c r="L127" s="116"/>
      <c r="M127" s="116"/>
      <c r="N127" s="116"/>
      <c r="O127" s="118"/>
    </row>
    <row r="128" ht="47.25" customHeight="1">
      <c r="A128" s="109">
        <f t="shared" si="10"/>
        <v>108</v>
      </c>
      <c r="B128" s="134" t="s">
        <v>235</v>
      </c>
      <c r="C128" s="111" t="s">
        <v>15</v>
      </c>
      <c r="D128" s="135" t="s">
        <v>236</v>
      </c>
      <c r="E128" s="111" t="s">
        <v>33</v>
      </c>
      <c r="F128" s="111" t="s">
        <v>26</v>
      </c>
      <c r="G128" s="111"/>
      <c r="H128" s="111"/>
      <c r="I128" s="111"/>
      <c r="J128" s="111"/>
      <c r="K128" s="111"/>
      <c r="L128" s="111"/>
      <c r="M128" s="111"/>
      <c r="N128" s="111"/>
      <c r="O128" s="113"/>
    </row>
    <row r="129" ht="47.25" customHeight="1">
      <c r="A129" s="114">
        <f t="shared" si="10"/>
        <v>109</v>
      </c>
      <c r="B129" s="132" t="s">
        <v>237</v>
      </c>
      <c r="C129" s="116" t="s">
        <v>15</v>
      </c>
      <c r="D129" s="133" t="s">
        <v>238</v>
      </c>
      <c r="E129" s="116" t="s">
        <v>33</v>
      </c>
      <c r="F129" s="116" t="s">
        <v>26</v>
      </c>
      <c r="G129" s="116"/>
      <c r="H129" s="116"/>
      <c r="I129" s="116"/>
      <c r="J129" s="116"/>
      <c r="K129" s="116"/>
      <c r="L129" s="116"/>
      <c r="M129" s="116"/>
      <c r="N129" s="116"/>
      <c r="O129" s="118"/>
    </row>
    <row r="130" ht="47.25" customHeight="1">
      <c r="A130" s="109">
        <f t="shared" si="10"/>
        <v>110</v>
      </c>
      <c r="B130" s="134" t="s">
        <v>239</v>
      </c>
      <c r="C130" s="111" t="s">
        <v>15</v>
      </c>
      <c r="D130" s="135" t="s">
        <v>238</v>
      </c>
      <c r="E130" s="111" t="s">
        <v>33</v>
      </c>
      <c r="F130" s="111" t="s">
        <v>26</v>
      </c>
      <c r="G130" s="111"/>
      <c r="H130" s="111"/>
      <c r="I130" s="111"/>
      <c r="J130" s="111"/>
      <c r="K130" s="111"/>
      <c r="L130" s="111"/>
      <c r="M130" s="111"/>
      <c r="N130" s="111"/>
      <c r="O130" s="113"/>
    </row>
    <row r="131" ht="47.25" customHeight="1">
      <c r="A131" s="114">
        <f t="shared" si="10"/>
        <v>111</v>
      </c>
      <c r="B131" s="132" t="s">
        <v>240</v>
      </c>
      <c r="C131" s="116" t="s">
        <v>15</v>
      </c>
      <c r="D131" s="133"/>
      <c r="E131" s="116" t="s">
        <v>33</v>
      </c>
      <c r="F131" s="116" t="s">
        <v>26</v>
      </c>
      <c r="G131" s="116"/>
      <c r="H131" s="116"/>
      <c r="I131" s="116"/>
      <c r="J131" s="116"/>
      <c r="K131" s="116"/>
      <c r="L131" s="116"/>
      <c r="M131" s="116"/>
      <c r="N131" s="116"/>
      <c r="O131" s="118"/>
    </row>
    <row r="132" ht="47.25" customHeight="1">
      <c r="A132" s="109">
        <f t="shared" si="10"/>
        <v>112</v>
      </c>
      <c r="B132" s="134" t="s">
        <v>241</v>
      </c>
      <c r="C132" s="111" t="s">
        <v>15</v>
      </c>
      <c r="D132" s="135" t="s">
        <v>242</v>
      </c>
      <c r="E132" s="111" t="s">
        <v>11</v>
      </c>
      <c r="F132" s="111" t="s">
        <v>26</v>
      </c>
      <c r="G132" s="111"/>
      <c r="H132" s="111"/>
      <c r="I132" s="111"/>
      <c r="J132" s="111"/>
      <c r="K132" s="111"/>
      <c r="L132" s="111"/>
      <c r="M132" s="111"/>
      <c r="N132" s="111"/>
      <c r="O132" s="113"/>
    </row>
    <row r="133" ht="47.25" customHeight="1">
      <c r="A133" s="114">
        <f t="shared" si="10"/>
        <v>113</v>
      </c>
      <c r="B133" s="132" t="s">
        <v>243</v>
      </c>
      <c r="C133" s="116" t="s">
        <v>15</v>
      </c>
      <c r="D133" s="133" t="s">
        <v>244</v>
      </c>
      <c r="E133" s="116" t="s">
        <v>33</v>
      </c>
      <c r="F133" s="116" t="s">
        <v>26</v>
      </c>
      <c r="G133" s="116"/>
      <c r="H133" s="116"/>
      <c r="I133" s="116"/>
      <c r="J133" s="116"/>
      <c r="K133" s="116"/>
      <c r="L133" s="116"/>
      <c r="M133" s="116"/>
      <c r="N133" s="116"/>
      <c r="O133" s="118"/>
    </row>
    <row r="134" ht="47.25" customHeight="1">
      <c r="A134" s="109">
        <f t="shared" si="10"/>
        <v>114</v>
      </c>
      <c r="B134" s="134" t="s">
        <v>245</v>
      </c>
      <c r="C134" s="111" t="s">
        <v>18</v>
      </c>
      <c r="D134" s="135" t="s">
        <v>244</v>
      </c>
      <c r="E134" s="111" t="s">
        <v>14</v>
      </c>
      <c r="F134" s="111" t="s">
        <v>34</v>
      </c>
      <c r="G134" s="111"/>
      <c r="H134" s="111"/>
      <c r="I134" s="111"/>
      <c r="J134" s="111"/>
      <c r="K134" s="111"/>
      <c r="L134" s="111"/>
      <c r="M134" s="111"/>
      <c r="N134" s="111"/>
      <c r="O134" s="113"/>
    </row>
    <row r="135" ht="47.25" customHeight="1">
      <c r="A135" s="114">
        <f t="shared" si="10"/>
        <v>115</v>
      </c>
      <c r="B135" s="136" t="s">
        <v>246</v>
      </c>
      <c r="C135" s="116" t="s">
        <v>18</v>
      </c>
      <c r="D135" s="137" t="s">
        <v>184</v>
      </c>
      <c r="E135" s="116" t="s">
        <v>11</v>
      </c>
      <c r="F135" s="116" t="s">
        <v>28</v>
      </c>
      <c r="G135" s="116"/>
      <c r="H135" s="116"/>
      <c r="I135" s="116"/>
      <c r="J135" s="116"/>
      <c r="K135" s="116"/>
      <c r="L135" s="116"/>
      <c r="M135" s="116"/>
      <c r="N135" s="116"/>
      <c r="O135" s="118"/>
    </row>
    <row r="136" ht="47.25" customHeight="1">
      <c r="A136" s="109">
        <f t="shared" si="10"/>
        <v>116</v>
      </c>
      <c r="B136" s="138" t="s">
        <v>247</v>
      </c>
      <c r="C136" s="111" t="s">
        <v>18</v>
      </c>
      <c r="D136" s="139" t="s">
        <v>184</v>
      </c>
      <c r="E136" s="111" t="s">
        <v>14</v>
      </c>
      <c r="F136" s="111" t="s">
        <v>28</v>
      </c>
      <c r="G136" s="111"/>
      <c r="H136" s="111"/>
      <c r="I136" s="111"/>
      <c r="J136" s="111"/>
      <c r="K136" s="111"/>
      <c r="L136" s="111"/>
      <c r="M136" s="111"/>
      <c r="N136" s="111"/>
      <c r="O136" s="113"/>
    </row>
    <row r="137" ht="47.25" customHeight="1">
      <c r="A137" s="114">
        <f t="shared" si="10"/>
        <v>117</v>
      </c>
      <c r="B137" s="136" t="s">
        <v>248</v>
      </c>
      <c r="C137" s="116" t="s">
        <v>18</v>
      </c>
      <c r="D137" s="137" t="s">
        <v>249</v>
      </c>
      <c r="E137" s="116" t="s">
        <v>25</v>
      </c>
      <c r="F137" s="116" t="s">
        <v>29</v>
      </c>
      <c r="G137" s="116"/>
      <c r="H137" s="116"/>
      <c r="I137" s="116"/>
      <c r="J137" s="116"/>
      <c r="K137" s="116"/>
      <c r="L137" s="116"/>
      <c r="M137" s="116"/>
      <c r="N137" s="116"/>
      <c r="O137" s="118"/>
    </row>
    <row r="138" ht="47.25" customHeight="1">
      <c r="A138" s="109">
        <f t="shared" si="10"/>
        <v>118</v>
      </c>
      <c r="B138" s="134" t="s">
        <v>250</v>
      </c>
      <c r="C138" s="111" t="s">
        <v>18</v>
      </c>
      <c r="D138" s="140" t="s">
        <v>251</v>
      </c>
      <c r="E138" s="111" t="s">
        <v>25</v>
      </c>
      <c r="F138" s="111" t="s">
        <v>28</v>
      </c>
      <c r="G138" s="111" t="s">
        <v>32</v>
      </c>
      <c r="H138" s="111"/>
      <c r="I138" s="111"/>
      <c r="J138" s="111"/>
      <c r="K138" s="111"/>
      <c r="L138" s="111"/>
      <c r="M138" s="111"/>
      <c r="N138" s="111"/>
      <c r="O138" s="113"/>
    </row>
    <row r="139" ht="47.25" customHeight="1">
      <c r="A139" s="114">
        <f t="shared" si="10"/>
        <v>119</v>
      </c>
      <c r="B139" s="141" t="s">
        <v>252</v>
      </c>
      <c r="C139" s="116" t="s">
        <v>18</v>
      </c>
      <c r="D139" s="133" t="s">
        <v>253</v>
      </c>
      <c r="E139" s="116" t="s">
        <v>33</v>
      </c>
      <c r="F139" s="116" t="s">
        <v>28</v>
      </c>
      <c r="G139" s="116"/>
      <c r="H139" s="116"/>
      <c r="I139" s="116"/>
      <c r="J139" s="116"/>
      <c r="K139" s="116"/>
      <c r="L139" s="116"/>
      <c r="M139" s="116"/>
      <c r="N139" s="116"/>
      <c r="O139" s="118"/>
    </row>
    <row r="140" ht="47.25" customHeight="1">
      <c r="A140" s="109">
        <f t="shared" si="10"/>
        <v>120</v>
      </c>
      <c r="B140" s="142" t="s">
        <v>254</v>
      </c>
      <c r="C140" s="111" t="s">
        <v>18</v>
      </c>
      <c r="D140" s="140" t="s">
        <v>255</v>
      </c>
      <c r="E140" s="111" t="s">
        <v>11</v>
      </c>
      <c r="F140" s="111" t="s">
        <v>28</v>
      </c>
      <c r="G140" s="111"/>
      <c r="H140" s="111"/>
      <c r="I140" s="111"/>
      <c r="J140" s="111"/>
      <c r="K140" s="111"/>
      <c r="L140" s="111"/>
      <c r="M140" s="111"/>
      <c r="N140" s="111"/>
      <c r="O140" s="113"/>
    </row>
    <row r="141" ht="47.25" customHeight="1">
      <c r="A141" s="114">
        <f t="shared" si="10"/>
        <v>121</v>
      </c>
      <c r="B141" s="132" t="s">
        <v>256</v>
      </c>
      <c r="C141" s="116" t="s">
        <v>18</v>
      </c>
      <c r="D141" s="133"/>
      <c r="E141" s="116" t="s">
        <v>14</v>
      </c>
      <c r="F141" s="116" t="s">
        <v>28</v>
      </c>
      <c r="G141" s="116" t="s">
        <v>13</v>
      </c>
      <c r="H141" s="116"/>
      <c r="I141" s="116"/>
      <c r="J141" s="116"/>
      <c r="K141" s="116"/>
      <c r="L141" s="116"/>
      <c r="M141" s="116"/>
      <c r="N141" s="116"/>
      <c r="O141" s="118"/>
    </row>
    <row r="142" ht="47.25" customHeight="1">
      <c r="A142" s="109">
        <f t="shared" si="10"/>
        <v>122</v>
      </c>
      <c r="B142" s="134" t="s">
        <v>257</v>
      </c>
      <c r="C142" s="111" t="s">
        <v>18</v>
      </c>
      <c r="D142" s="135"/>
      <c r="E142" s="111" t="s">
        <v>14</v>
      </c>
      <c r="F142" s="111" t="s">
        <v>28</v>
      </c>
      <c r="G142" s="111" t="s">
        <v>32</v>
      </c>
      <c r="H142" s="111"/>
      <c r="I142" s="111"/>
      <c r="J142" s="111"/>
      <c r="K142" s="111"/>
      <c r="L142" s="111"/>
      <c r="M142" s="111"/>
      <c r="N142" s="111"/>
      <c r="O142" s="113"/>
    </row>
    <row r="143" ht="47.25" customHeight="1">
      <c r="A143" s="114">
        <f t="shared" si="10"/>
        <v>123</v>
      </c>
      <c r="B143" s="132" t="s">
        <v>258</v>
      </c>
      <c r="C143" s="116" t="s">
        <v>18</v>
      </c>
      <c r="D143" s="133" t="s">
        <v>135</v>
      </c>
      <c r="E143" s="116" t="s">
        <v>17</v>
      </c>
      <c r="F143" s="116" t="s">
        <v>32</v>
      </c>
      <c r="G143" s="116" t="s">
        <v>28</v>
      </c>
      <c r="H143" s="116"/>
      <c r="I143" s="116"/>
      <c r="J143" s="116"/>
      <c r="K143" s="116"/>
      <c r="L143" s="116"/>
      <c r="M143" s="116"/>
      <c r="N143" s="116"/>
      <c r="O143" s="118"/>
    </row>
    <row r="144" ht="47.25" customHeight="1">
      <c r="A144" s="109">
        <f t="shared" si="10"/>
        <v>124</v>
      </c>
      <c r="B144" s="134" t="s">
        <v>134</v>
      </c>
      <c r="C144" s="111" t="s">
        <v>18</v>
      </c>
      <c r="D144" s="135" t="s">
        <v>135</v>
      </c>
      <c r="E144" s="111" t="s">
        <v>23</v>
      </c>
      <c r="F144" s="111" t="s">
        <v>28</v>
      </c>
      <c r="G144" s="111" t="s">
        <v>32</v>
      </c>
      <c r="H144" s="111"/>
      <c r="I144" s="111"/>
      <c r="J144" s="111"/>
      <c r="K144" s="111"/>
      <c r="L144" s="111"/>
      <c r="M144" s="111"/>
      <c r="N144" s="111"/>
      <c r="O144" s="113"/>
    </row>
    <row r="145" ht="47.25" customHeight="1">
      <c r="A145" s="114">
        <f t="shared" si="10"/>
        <v>125</v>
      </c>
      <c r="B145" s="132" t="s">
        <v>259</v>
      </c>
      <c r="C145" s="116" t="s">
        <v>18</v>
      </c>
      <c r="D145" s="133"/>
      <c r="E145" s="116" t="s">
        <v>11</v>
      </c>
      <c r="F145" s="116" t="s">
        <v>28</v>
      </c>
      <c r="G145" s="116"/>
      <c r="H145" s="116"/>
      <c r="I145" s="116"/>
      <c r="J145" s="116"/>
      <c r="K145" s="116"/>
      <c r="L145" s="116"/>
      <c r="M145" s="116"/>
      <c r="N145" s="116"/>
      <c r="O145" s="118"/>
    </row>
    <row r="146" ht="47.25" customHeight="1">
      <c r="A146" s="109">
        <f t="shared" si="10"/>
        <v>126</v>
      </c>
      <c r="B146" s="134" t="s">
        <v>260</v>
      </c>
      <c r="C146" s="111" t="s">
        <v>18</v>
      </c>
      <c r="D146" s="135" t="s">
        <v>261</v>
      </c>
      <c r="E146" s="111" t="s">
        <v>11</v>
      </c>
      <c r="F146" s="111" t="s">
        <v>28</v>
      </c>
      <c r="G146" s="111"/>
      <c r="H146" s="111"/>
      <c r="I146" s="111"/>
      <c r="J146" s="111"/>
      <c r="K146" s="111"/>
      <c r="L146" s="111"/>
      <c r="M146" s="111"/>
      <c r="N146" s="111"/>
      <c r="O146" s="113"/>
    </row>
    <row r="147" ht="47.25" customHeight="1">
      <c r="A147" s="114">
        <f t="shared" si="10"/>
        <v>127</v>
      </c>
      <c r="B147" s="132" t="s">
        <v>262</v>
      </c>
      <c r="C147" s="116" t="s">
        <v>18</v>
      </c>
      <c r="D147" s="133" t="s">
        <v>263</v>
      </c>
      <c r="E147" s="116" t="s">
        <v>17</v>
      </c>
      <c r="F147" s="116" t="s">
        <v>28</v>
      </c>
      <c r="G147" s="116"/>
      <c r="H147" s="116"/>
      <c r="I147" s="116"/>
      <c r="J147" s="116"/>
      <c r="K147" s="116"/>
      <c r="L147" s="116"/>
      <c r="M147" s="116"/>
      <c r="N147" s="116"/>
      <c r="O147" s="118"/>
    </row>
    <row r="148" ht="47.25" customHeight="1">
      <c r="A148" s="109">
        <f t="shared" si="10"/>
        <v>128</v>
      </c>
      <c r="B148" s="134" t="s">
        <v>264</v>
      </c>
      <c r="C148" s="111" t="s">
        <v>18</v>
      </c>
      <c r="D148" s="135" t="s">
        <v>265</v>
      </c>
      <c r="E148" s="111" t="s">
        <v>23</v>
      </c>
      <c r="F148" s="111" t="s">
        <v>28</v>
      </c>
      <c r="G148" s="111" t="s">
        <v>32</v>
      </c>
      <c r="H148" s="111"/>
      <c r="I148" s="111"/>
      <c r="J148" s="111"/>
      <c r="K148" s="111"/>
      <c r="L148" s="111"/>
      <c r="M148" s="111"/>
      <c r="N148" s="111"/>
      <c r="O148" s="113"/>
    </row>
    <row r="149" ht="47.25" customHeight="1">
      <c r="A149" s="114">
        <f t="shared" si="10"/>
        <v>129</v>
      </c>
      <c r="B149" s="132" t="s">
        <v>79</v>
      </c>
      <c r="C149" s="116" t="s">
        <v>18</v>
      </c>
      <c r="D149" s="133"/>
      <c r="E149" s="116" t="s">
        <v>23</v>
      </c>
      <c r="F149" s="116" t="s">
        <v>28</v>
      </c>
      <c r="G149" s="116" t="s">
        <v>29</v>
      </c>
      <c r="H149" s="116" t="s">
        <v>30</v>
      </c>
      <c r="I149" s="116"/>
      <c r="J149" s="116"/>
      <c r="K149" s="116"/>
      <c r="L149" s="116"/>
      <c r="M149" s="116"/>
      <c r="N149" s="116"/>
      <c r="O149" s="118"/>
    </row>
    <row r="150" ht="47.25" customHeight="1">
      <c r="A150" s="109">
        <f t="shared" si="10"/>
        <v>130</v>
      </c>
      <c r="B150" s="134" t="s">
        <v>266</v>
      </c>
      <c r="C150" s="111" t="s">
        <v>18</v>
      </c>
      <c r="D150" s="135" t="s">
        <v>267</v>
      </c>
      <c r="E150" s="111" t="s">
        <v>17</v>
      </c>
      <c r="F150" s="111" t="s">
        <v>28</v>
      </c>
      <c r="G150" s="111" t="s">
        <v>32</v>
      </c>
      <c r="H150" s="111"/>
      <c r="I150" s="111"/>
      <c r="J150" s="111"/>
      <c r="K150" s="111"/>
      <c r="L150" s="111"/>
      <c r="M150" s="111"/>
      <c r="N150" s="111"/>
      <c r="O150" s="113"/>
    </row>
    <row r="151" ht="47.25" customHeight="1">
      <c r="A151" s="114">
        <f t="shared" si="10"/>
        <v>131</v>
      </c>
      <c r="B151" s="132" t="s">
        <v>268</v>
      </c>
      <c r="C151" s="116" t="s">
        <v>18</v>
      </c>
      <c r="D151" s="133" t="s">
        <v>269</v>
      </c>
      <c r="E151" s="116" t="s">
        <v>14</v>
      </c>
      <c r="F151" s="116" t="s">
        <v>28</v>
      </c>
      <c r="G151" s="116" t="s">
        <v>32</v>
      </c>
      <c r="H151" s="116"/>
      <c r="I151" s="116"/>
      <c r="J151" s="116"/>
      <c r="K151" s="116"/>
      <c r="L151" s="116"/>
      <c r="M151" s="116"/>
      <c r="N151" s="116"/>
      <c r="O151" s="118"/>
    </row>
    <row r="152" ht="47.25" customHeight="1">
      <c r="A152" s="109">
        <f t="shared" si="10"/>
        <v>132</v>
      </c>
      <c r="B152" s="134" t="s">
        <v>270</v>
      </c>
      <c r="C152" s="111" t="s">
        <v>18</v>
      </c>
      <c r="D152" s="135" t="s">
        <v>271</v>
      </c>
      <c r="E152" s="111" t="s">
        <v>23</v>
      </c>
      <c r="F152" s="111" t="s">
        <v>28</v>
      </c>
      <c r="G152" s="111" t="s">
        <v>32</v>
      </c>
      <c r="H152" s="111"/>
      <c r="I152" s="111"/>
      <c r="J152" s="111"/>
      <c r="K152" s="111"/>
      <c r="L152" s="111"/>
      <c r="M152" s="111"/>
      <c r="N152" s="111"/>
      <c r="O152" s="113"/>
    </row>
    <row r="153" ht="47.25" customHeight="1">
      <c r="A153" s="114">
        <f t="shared" si="10"/>
        <v>133</v>
      </c>
      <c r="B153" s="132" t="s">
        <v>151</v>
      </c>
      <c r="C153" s="116" t="s">
        <v>18</v>
      </c>
      <c r="D153" s="133"/>
      <c r="E153" s="116" t="s">
        <v>11</v>
      </c>
      <c r="F153" s="116" t="s">
        <v>32</v>
      </c>
      <c r="G153" s="116"/>
      <c r="H153" s="116"/>
      <c r="I153" s="116"/>
      <c r="J153" s="116"/>
      <c r="K153" s="116"/>
      <c r="L153" s="116"/>
      <c r="M153" s="116"/>
      <c r="N153" s="116"/>
      <c r="O153" s="118"/>
    </row>
    <row r="154" ht="47.25" customHeight="1">
      <c r="A154" s="109">
        <f t="shared" si="10"/>
        <v>134</v>
      </c>
      <c r="B154" s="134" t="s">
        <v>272</v>
      </c>
      <c r="C154" s="111" t="s">
        <v>18</v>
      </c>
      <c r="D154" s="135"/>
      <c r="E154" s="111" t="s">
        <v>25</v>
      </c>
      <c r="F154" s="111" t="s">
        <v>28</v>
      </c>
      <c r="G154" s="111" t="s">
        <v>32</v>
      </c>
      <c r="H154" s="111"/>
      <c r="I154" s="111"/>
      <c r="J154" s="111"/>
      <c r="K154" s="111"/>
      <c r="L154" s="111"/>
      <c r="M154" s="111"/>
      <c r="N154" s="111"/>
      <c r="O154" s="113"/>
    </row>
    <row r="155" ht="47.25" customHeight="1">
      <c r="A155" s="114">
        <f t="shared" si="10"/>
        <v>135</v>
      </c>
      <c r="B155" s="132" t="s">
        <v>273</v>
      </c>
      <c r="C155" s="116" t="s">
        <v>18</v>
      </c>
      <c r="D155" s="133" t="s">
        <v>172</v>
      </c>
      <c r="E155" s="116" t="s">
        <v>25</v>
      </c>
      <c r="F155" s="116" t="s">
        <v>28</v>
      </c>
      <c r="G155" s="116" t="s">
        <v>32</v>
      </c>
      <c r="H155" s="116"/>
      <c r="I155" s="116"/>
      <c r="J155" s="116"/>
      <c r="K155" s="116"/>
      <c r="L155" s="116"/>
      <c r="M155" s="116"/>
      <c r="N155" s="116"/>
      <c r="O155" s="118"/>
    </row>
    <row r="156" ht="47.25" customHeight="1">
      <c r="A156" s="109">
        <f t="shared" si="10"/>
        <v>136</v>
      </c>
      <c r="B156" s="134" t="s">
        <v>71</v>
      </c>
      <c r="C156" s="111" t="s">
        <v>18</v>
      </c>
      <c r="D156" s="135" t="s">
        <v>274</v>
      </c>
      <c r="E156" s="111" t="s">
        <v>20</v>
      </c>
      <c r="F156" s="111" t="s">
        <v>29</v>
      </c>
      <c r="G156" s="111" t="s">
        <v>30</v>
      </c>
      <c r="H156" s="111" t="s">
        <v>32</v>
      </c>
      <c r="I156" s="111"/>
      <c r="J156" s="111"/>
      <c r="K156" s="111"/>
      <c r="L156" s="111"/>
      <c r="M156" s="111"/>
      <c r="N156" s="111"/>
      <c r="O156" s="113"/>
    </row>
    <row r="157" ht="42.0" customHeight="1">
      <c r="A157" s="114">
        <f t="shared" si="10"/>
        <v>137</v>
      </c>
      <c r="B157" s="132" t="s">
        <v>144</v>
      </c>
      <c r="C157" s="116" t="s">
        <v>18</v>
      </c>
      <c r="D157" s="133" t="s">
        <v>145</v>
      </c>
      <c r="E157" s="116" t="s">
        <v>14</v>
      </c>
      <c r="F157" s="116" t="s">
        <v>29</v>
      </c>
      <c r="G157" s="116" t="s">
        <v>30</v>
      </c>
      <c r="H157" s="116"/>
      <c r="I157" s="116"/>
      <c r="J157" s="116"/>
      <c r="K157" s="116"/>
      <c r="L157" s="116"/>
      <c r="M157" s="116"/>
      <c r="N157" s="116"/>
      <c r="O157" s="118"/>
    </row>
    <row r="158" ht="42.0" customHeight="1">
      <c r="A158" s="109">
        <f t="shared" si="10"/>
        <v>138</v>
      </c>
      <c r="B158" s="134" t="s">
        <v>275</v>
      </c>
      <c r="C158" s="111" t="s">
        <v>18</v>
      </c>
      <c r="D158" s="135"/>
      <c r="E158" s="111" t="s">
        <v>36</v>
      </c>
      <c r="F158" s="111" t="s">
        <v>28</v>
      </c>
      <c r="G158" s="111"/>
      <c r="H158" s="111"/>
      <c r="I158" s="111"/>
      <c r="J158" s="111"/>
      <c r="K158" s="111"/>
      <c r="L158" s="111"/>
      <c r="M158" s="111"/>
      <c r="N158" s="111"/>
      <c r="O158" s="113"/>
    </row>
    <row r="159" ht="42.0" customHeight="1">
      <c r="A159" s="114">
        <f t="shared" si="10"/>
        <v>139</v>
      </c>
      <c r="B159" s="132" t="s">
        <v>118</v>
      </c>
      <c r="C159" s="116" t="s">
        <v>18</v>
      </c>
      <c r="D159" s="133" t="s">
        <v>197</v>
      </c>
      <c r="E159" s="116" t="s">
        <v>17</v>
      </c>
      <c r="F159" s="116" t="s">
        <v>32</v>
      </c>
      <c r="G159" s="116" t="s">
        <v>30</v>
      </c>
      <c r="H159" s="116"/>
      <c r="I159" s="116"/>
      <c r="J159" s="116"/>
      <c r="K159" s="116"/>
      <c r="L159" s="116"/>
      <c r="M159" s="116"/>
      <c r="N159" s="116"/>
      <c r="O159" s="118"/>
    </row>
    <row r="160" ht="42.0" customHeight="1">
      <c r="A160" s="109">
        <f t="shared" si="10"/>
        <v>140</v>
      </c>
      <c r="B160" s="134" t="s">
        <v>276</v>
      </c>
      <c r="C160" s="111" t="s">
        <v>18</v>
      </c>
      <c r="D160" s="135" t="s">
        <v>164</v>
      </c>
      <c r="E160" s="111" t="s">
        <v>14</v>
      </c>
      <c r="F160" s="111" t="s">
        <v>13</v>
      </c>
      <c r="G160" s="111" t="s">
        <v>30</v>
      </c>
      <c r="H160" s="111"/>
      <c r="I160" s="111"/>
      <c r="J160" s="111"/>
      <c r="K160" s="111"/>
      <c r="L160" s="111"/>
      <c r="M160" s="111"/>
      <c r="N160" s="111"/>
      <c r="O160" s="113"/>
    </row>
    <row r="161" ht="42.0" customHeight="1">
      <c r="A161" s="114">
        <f t="shared" si="10"/>
        <v>141</v>
      </c>
      <c r="B161" s="132" t="s">
        <v>277</v>
      </c>
      <c r="C161" s="116" t="s">
        <v>18</v>
      </c>
      <c r="D161" s="133" t="s">
        <v>278</v>
      </c>
      <c r="E161" s="116" t="s">
        <v>20</v>
      </c>
      <c r="F161" s="116" t="s">
        <v>29</v>
      </c>
      <c r="G161" s="116"/>
      <c r="H161" s="116"/>
      <c r="I161" s="116"/>
      <c r="J161" s="116"/>
      <c r="K161" s="116"/>
      <c r="L161" s="116"/>
      <c r="M161" s="116"/>
      <c r="N161" s="116"/>
      <c r="O161" s="118"/>
    </row>
    <row r="162" ht="42.0" customHeight="1">
      <c r="A162" s="109">
        <f t="shared" si="10"/>
        <v>142</v>
      </c>
      <c r="B162" s="134" t="s">
        <v>279</v>
      </c>
      <c r="C162" s="111" t="s">
        <v>18</v>
      </c>
      <c r="D162" s="135" t="s">
        <v>87</v>
      </c>
      <c r="E162" s="111" t="s">
        <v>11</v>
      </c>
      <c r="F162" s="111" t="s">
        <v>29</v>
      </c>
      <c r="G162" s="111" t="s">
        <v>34</v>
      </c>
      <c r="H162" s="111"/>
      <c r="I162" s="111"/>
      <c r="J162" s="111"/>
      <c r="K162" s="111"/>
      <c r="L162" s="111"/>
      <c r="M162" s="111"/>
      <c r="N162" s="111"/>
      <c r="O162" s="113"/>
    </row>
    <row r="163" ht="42.0" customHeight="1">
      <c r="A163" s="114">
        <f t="shared" si="10"/>
        <v>143</v>
      </c>
      <c r="B163" s="132" t="s">
        <v>280</v>
      </c>
      <c r="C163" s="116" t="s">
        <v>18</v>
      </c>
      <c r="D163" s="133"/>
      <c r="E163" s="116" t="s">
        <v>20</v>
      </c>
      <c r="F163" s="116" t="s">
        <v>29</v>
      </c>
      <c r="G163" s="116" t="s">
        <v>32</v>
      </c>
      <c r="H163" s="116"/>
      <c r="I163" s="116"/>
      <c r="J163" s="116"/>
      <c r="K163" s="116"/>
      <c r="L163" s="116"/>
      <c r="M163" s="116"/>
      <c r="N163" s="116"/>
      <c r="O163" s="118"/>
    </row>
    <row r="164" ht="42.0" customHeight="1">
      <c r="A164" s="109">
        <f t="shared" si="10"/>
        <v>144</v>
      </c>
      <c r="B164" s="134" t="s">
        <v>281</v>
      </c>
      <c r="C164" s="111" t="s">
        <v>18</v>
      </c>
      <c r="D164" s="135"/>
      <c r="E164" s="111" t="s">
        <v>20</v>
      </c>
      <c r="F164" s="111" t="s">
        <v>29</v>
      </c>
      <c r="G164" s="111"/>
      <c r="H164" s="111"/>
      <c r="I164" s="111"/>
      <c r="J164" s="111"/>
      <c r="K164" s="111"/>
      <c r="L164" s="111"/>
      <c r="M164" s="111"/>
      <c r="N164" s="111"/>
      <c r="O164" s="113"/>
    </row>
    <row r="165" ht="42.0" customHeight="1">
      <c r="A165" s="114">
        <f t="shared" si="10"/>
        <v>145</v>
      </c>
      <c r="B165" s="132" t="s">
        <v>282</v>
      </c>
      <c r="C165" s="116" t="s">
        <v>18</v>
      </c>
      <c r="D165" s="133"/>
      <c r="E165" s="116" t="s">
        <v>17</v>
      </c>
      <c r="F165" s="116" t="s">
        <v>29</v>
      </c>
      <c r="G165" s="116"/>
      <c r="H165" s="116"/>
      <c r="I165" s="116"/>
      <c r="J165" s="116"/>
      <c r="K165" s="116"/>
      <c r="L165" s="116"/>
      <c r="M165" s="116"/>
      <c r="N165" s="116"/>
      <c r="O165" s="118"/>
    </row>
    <row r="166" ht="42.0" customHeight="1">
      <c r="A166" s="109">
        <f t="shared" si="10"/>
        <v>146</v>
      </c>
      <c r="B166" s="134" t="s">
        <v>283</v>
      </c>
      <c r="C166" s="111" t="s">
        <v>18</v>
      </c>
      <c r="D166" s="135"/>
      <c r="E166" s="111" t="s">
        <v>11</v>
      </c>
      <c r="F166" s="111" t="s">
        <v>29</v>
      </c>
      <c r="G166" s="111" t="s">
        <v>30</v>
      </c>
      <c r="H166" s="111"/>
      <c r="I166" s="111"/>
      <c r="J166" s="111"/>
      <c r="K166" s="111"/>
      <c r="L166" s="111"/>
      <c r="M166" s="111"/>
      <c r="N166" s="111"/>
      <c r="O166" s="113"/>
    </row>
    <row r="167" ht="42.0" customHeight="1">
      <c r="A167" s="114">
        <f t="shared" si="10"/>
        <v>147</v>
      </c>
      <c r="B167" s="132" t="s">
        <v>149</v>
      </c>
      <c r="C167" s="116" t="s">
        <v>18</v>
      </c>
      <c r="D167" s="133" t="s">
        <v>197</v>
      </c>
      <c r="E167" s="116" t="s">
        <v>17</v>
      </c>
      <c r="F167" s="116" t="s">
        <v>32</v>
      </c>
      <c r="G167" s="116"/>
      <c r="H167" s="116"/>
      <c r="I167" s="116"/>
      <c r="J167" s="116"/>
      <c r="K167" s="116"/>
      <c r="L167" s="116"/>
      <c r="M167" s="116"/>
      <c r="N167" s="116"/>
      <c r="O167" s="118"/>
    </row>
    <row r="168" ht="42.0" customHeight="1">
      <c r="A168" s="109">
        <f t="shared" si="10"/>
        <v>148</v>
      </c>
      <c r="B168" s="134" t="s">
        <v>284</v>
      </c>
      <c r="C168" s="111" t="s">
        <v>18</v>
      </c>
      <c r="D168" s="135"/>
      <c r="E168" s="111" t="s">
        <v>17</v>
      </c>
      <c r="F168" s="111" t="s">
        <v>32</v>
      </c>
      <c r="G168" s="111"/>
      <c r="H168" s="111"/>
      <c r="I168" s="111"/>
      <c r="J168" s="111"/>
      <c r="K168" s="111"/>
      <c r="L168" s="111"/>
      <c r="M168" s="111"/>
      <c r="N168" s="111"/>
      <c r="O168" s="113"/>
    </row>
    <row r="169" ht="42.0" customHeight="1">
      <c r="A169" s="114">
        <f t="shared" si="10"/>
        <v>149</v>
      </c>
      <c r="B169" s="132" t="s">
        <v>285</v>
      </c>
      <c r="C169" s="116" t="s">
        <v>18</v>
      </c>
      <c r="D169" s="133" t="s">
        <v>286</v>
      </c>
      <c r="E169" s="116" t="s">
        <v>11</v>
      </c>
      <c r="F169" s="116" t="s">
        <v>28</v>
      </c>
      <c r="G169" s="116" t="s">
        <v>32</v>
      </c>
      <c r="H169" s="116"/>
      <c r="I169" s="116"/>
      <c r="J169" s="116"/>
      <c r="K169" s="116"/>
      <c r="L169" s="116"/>
      <c r="M169" s="116"/>
      <c r="N169" s="116"/>
      <c r="O169" s="118"/>
    </row>
    <row r="170" ht="42.0" customHeight="1">
      <c r="A170" s="109">
        <f t="shared" si="10"/>
        <v>150</v>
      </c>
      <c r="B170" s="134" t="s">
        <v>287</v>
      </c>
      <c r="C170" s="111" t="s">
        <v>18</v>
      </c>
      <c r="D170" s="135" t="s">
        <v>288</v>
      </c>
      <c r="E170" s="111" t="s">
        <v>11</v>
      </c>
      <c r="F170" s="111" t="s">
        <v>32</v>
      </c>
      <c r="G170" s="111"/>
      <c r="H170" s="111"/>
      <c r="I170" s="111"/>
      <c r="J170" s="111"/>
      <c r="K170" s="111"/>
      <c r="L170" s="111"/>
      <c r="M170" s="111"/>
      <c r="N170" s="111"/>
      <c r="O170" s="113"/>
    </row>
    <row r="171" ht="42.0" customHeight="1">
      <c r="A171" s="114">
        <f t="shared" si="10"/>
        <v>151</v>
      </c>
      <c r="B171" s="132" t="s">
        <v>289</v>
      </c>
      <c r="C171" s="116" t="s">
        <v>18</v>
      </c>
      <c r="D171" s="133" t="s">
        <v>290</v>
      </c>
      <c r="E171" s="116" t="s">
        <v>17</v>
      </c>
      <c r="F171" s="116" t="s">
        <v>32</v>
      </c>
      <c r="G171" s="116"/>
      <c r="H171" s="116"/>
      <c r="I171" s="116"/>
      <c r="J171" s="116"/>
      <c r="K171" s="116"/>
      <c r="L171" s="116"/>
      <c r="M171" s="116"/>
      <c r="N171" s="116"/>
      <c r="O171" s="118"/>
    </row>
    <row r="172" ht="42.0" customHeight="1">
      <c r="A172" s="109">
        <f t="shared" si="10"/>
        <v>152</v>
      </c>
      <c r="B172" s="134" t="s">
        <v>146</v>
      </c>
      <c r="C172" s="111" t="s">
        <v>18</v>
      </c>
      <c r="D172" s="135" t="s">
        <v>87</v>
      </c>
      <c r="E172" s="111" t="s">
        <v>14</v>
      </c>
      <c r="F172" s="111" t="s">
        <v>32</v>
      </c>
      <c r="G172" s="111"/>
      <c r="H172" s="111"/>
      <c r="I172" s="111"/>
      <c r="J172" s="111"/>
      <c r="K172" s="111"/>
      <c r="L172" s="111"/>
      <c r="M172" s="111"/>
      <c r="N172" s="111"/>
      <c r="O172" s="113"/>
    </row>
    <row r="173" ht="42.0" customHeight="1">
      <c r="A173" s="114">
        <f t="shared" si="10"/>
        <v>153</v>
      </c>
      <c r="B173" s="132" t="s">
        <v>291</v>
      </c>
      <c r="C173" s="116" t="s">
        <v>18</v>
      </c>
      <c r="D173" s="133"/>
      <c r="E173" s="116" t="s">
        <v>14</v>
      </c>
      <c r="F173" s="116" t="s">
        <v>32</v>
      </c>
      <c r="G173" s="116"/>
      <c r="H173" s="116"/>
      <c r="I173" s="116"/>
      <c r="J173" s="116"/>
      <c r="K173" s="116"/>
      <c r="L173" s="116"/>
      <c r="M173" s="116"/>
      <c r="N173" s="116"/>
      <c r="O173" s="118"/>
    </row>
    <row r="174" ht="42.0" customHeight="1">
      <c r="A174" s="109">
        <f t="shared" si="10"/>
        <v>154</v>
      </c>
      <c r="B174" s="134" t="s">
        <v>84</v>
      </c>
      <c r="C174" s="111" t="s">
        <v>18</v>
      </c>
      <c r="D174" s="135" t="s">
        <v>292</v>
      </c>
      <c r="E174" s="111" t="s">
        <v>14</v>
      </c>
      <c r="F174" s="111" t="s">
        <v>32</v>
      </c>
      <c r="G174" s="111"/>
      <c r="H174" s="111"/>
      <c r="I174" s="111"/>
      <c r="J174" s="111"/>
      <c r="K174" s="111"/>
      <c r="L174" s="111"/>
      <c r="M174" s="111"/>
      <c r="N174" s="111"/>
      <c r="O174" s="113"/>
    </row>
    <row r="175" ht="42.0" customHeight="1">
      <c r="A175" s="114">
        <f t="shared" si="10"/>
        <v>155</v>
      </c>
      <c r="B175" s="132" t="s">
        <v>293</v>
      </c>
      <c r="C175" s="116" t="s">
        <v>18</v>
      </c>
      <c r="D175" s="133" t="s">
        <v>294</v>
      </c>
      <c r="E175" s="116" t="s">
        <v>14</v>
      </c>
      <c r="F175" s="116" t="s">
        <v>32</v>
      </c>
      <c r="G175" s="116"/>
      <c r="H175" s="116"/>
      <c r="I175" s="116"/>
      <c r="J175" s="116"/>
      <c r="K175" s="116"/>
      <c r="L175" s="116"/>
      <c r="M175" s="116"/>
      <c r="N175" s="116"/>
      <c r="O175" s="118"/>
    </row>
    <row r="176" ht="42.0" customHeight="1">
      <c r="A176" s="109">
        <f t="shared" si="10"/>
        <v>156</v>
      </c>
      <c r="B176" s="134" t="s">
        <v>295</v>
      </c>
      <c r="C176" s="111" t="s">
        <v>18</v>
      </c>
      <c r="D176" s="135" t="s">
        <v>296</v>
      </c>
      <c r="E176" s="111" t="s">
        <v>11</v>
      </c>
      <c r="F176" s="111" t="s">
        <v>32</v>
      </c>
      <c r="G176" s="111"/>
      <c r="H176" s="111"/>
      <c r="I176" s="111"/>
      <c r="J176" s="111"/>
      <c r="K176" s="111"/>
      <c r="L176" s="111"/>
      <c r="M176" s="111"/>
      <c r="N176" s="111"/>
      <c r="O176" s="113"/>
    </row>
    <row r="177" ht="42.0" customHeight="1">
      <c r="A177" s="114">
        <f t="shared" si="10"/>
        <v>157</v>
      </c>
      <c r="B177" s="132" t="s">
        <v>297</v>
      </c>
      <c r="C177" s="116" t="s">
        <v>18</v>
      </c>
      <c r="D177" s="133" t="s">
        <v>263</v>
      </c>
      <c r="E177" s="116" t="s">
        <v>25</v>
      </c>
      <c r="F177" s="116" t="s">
        <v>32</v>
      </c>
      <c r="G177" s="116"/>
      <c r="H177" s="116"/>
      <c r="I177" s="116"/>
      <c r="J177" s="116"/>
      <c r="K177" s="116"/>
      <c r="L177" s="116"/>
      <c r="M177" s="116"/>
      <c r="N177" s="116"/>
      <c r="O177" s="118"/>
    </row>
    <row r="178" ht="42.0" customHeight="1">
      <c r="A178" s="109">
        <f t="shared" si="10"/>
        <v>158</v>
      </c>
      <c r="B178" s="134" t="s">
        <v>298</v>
      </c>
      <c r="C178" s="111" t="s">
        <v>18</v>
      </c>
      <c r="D178" s="135" t="s">
        <v>299</v>
      </c>
      <c r="E178" s="111" t="s">
        <v>11</v>
      </c>
      <c r="F178" s="111" t="s">
        <v>32</v>
      </c>
      <c r="G178" s="111"/>
      <c r="H178" s="111"/>
      <c r="I178" s="111"/>
      <c r="J178" s="111"/>
      <c r="K178" s="111"/>
      <c r="L178" s="111"/>
      <c r="M178" s="111"/>
      <c r="N178" s="111"/>
      <c r="O178" s="113"/>
    </row>
    <row r="179" ht="42.0" customHeight="1">
      <c r="A179" s="114">
        <f t="shared" si="10"/>
        <v>159</v>
      </c>
      <c r="B179" s="132" t="s">
        <v>300</v>
      </c>
      <c r="C179" s="116" t="s">
        <v>18</v>
      </c>
      <c r="D179" s="133" t="s">
        <v>301</v>
      </c>
      <c r="E179" s="116" t="s">
        <v>14</v>
      </c>
      <c r="F179" s="116" t="s">
        <v>32</v>
      </c>
      <c r="G179" s="116"/>
      <c r="H179" s="116"/>
      <c r="I179" s="116"/>
      <c r="J179" s="116"/>
      <c r="K179" s="116"/>
      <c r="L179" s="116"/>
      <c r="M179" s="116"/>
      <c r="N179" s="116"/>
      <c r="O179" s="118"/>
    </row>
    <row r="180" ht="42.0" customHeight="1">
      <c r="A180" s="109">
        <f t="shared" si="10"/>
        <v>160</v>
      </c>
      <c r="B180" s="134" t="s">
        <v>302</v>
      </c>
      <c r="C180" s="111" t="s">
        <v>18</v>
      </c>
      <c r="D180" s="135" t="s">
        <v>296</v>
      </c>
      <c r="E180" s="111" t="s">
        <v>11</v>
      </c>
      <c r="F180" s="111" t="s">
        <v>32</v>
      </c>
      <c r="G180" s="111"/>
      <c r="H180" s="111"/>
      <c r="I180" s="111"/>
      <c r="J180" s="111"/>
      <c r="K180" s="111"/>
      <c r="L180" s="111"/>
      <c r="M180" s="111"/>
      <c r="N180" s="111"/>
      <c r="O180" s="113"/>
    </row>
    <row r="181" ht="42.0" customHeight="1">
      <c r="A181" s="114">
        <f t="shared" si="10"/>
        <v>161</v>
      </c>
      <c r="B181" s="132" t="s">
        <v>303</v>
      </c>
      <c r="C181" s="116" t="s">
        <v>18</v>
      </c>
      <c r="D181" s="133" t="s">
        <v>304</v>
      </c>
      <c r="E181" s="116" t="s">
        <v>36</v>
      </c>
      <c r="F181" s="116" t="s">
        <v>32</v>
      </c>
      <c r="G181" s="116"/>
      <c r="H181" s="116"/>
      <c r="I181" s="116"/>
      <c r="J181" s="116"/>
      <c r="K181" s="116"/>
      <c r="L181" s="116"/>
      <c r="M181" s="116"/>
      <c r="N181" s="116"/>
      <c r="O181" s="118"/>
    </row>
    <row r="182" ht="42.0" customHeight="1">
      <c r="A182" s="109">
        <f t="shared" si="10"/>
        <v>162</v>
      </c>
      <c r="B182" s="134" t="s">
        <v>305</v>
      </c>
      <c r="C182" s="111" t="s">
        <v>18</v>
      </c>
      <c r="D182" s="135"/>
      <c r="E182" s="111" t="s">
        <v>11</v>
      </c>
      <c r="F182" s="111" t="s">
        <v>28</v>
      </c>
      <c r="G182" s="111" t="s">
        <v>32</v>
      </c>
      <c r="H182" s="111"/>
      <c r="I182" s="111"/>
      <c r="J182" s="111"/>
      <c r="K182" s="111"/>
      <c r="L182" s="111"/>
      <c r="M182" s="111"/>
      <c r="N182" s="111"/>
      <c r="O182" s="113"/>
    </row>
    <row r="183" ht="42.0" customHeight="1">
      <c r="A183" s="114">
        <f t="shared" si="10"/>
        <v>163</v>
      </c>
      <c r="B183" s="132" t="s">
        <v>306</v>
      </c>
      <c r="C183" s="116" t="s">
        <v>18</v>
      </c>
      <c r="D183" s="133"/>
      <c r="E183" s="116" t="s">
        <v>33</v>
      </c>
      <c r="F183" s="116" t="s">
        <v>28</v>
      </c>
      <c r="G183" s="116"/>
      <c r="H183" s="116"/>
      <c r="I183" s="116"/>
      <c r="J183" s="116"/>
      <c r="K183" s="116"/>
      <c r="L183" s="116"/>
      <c r="M183" s="116"/>
      <c r="N183" s="116"/>
      <c r="O183" s="118"/>
    </row>
    <row r="184" ht="42.0" customHeight="1">
      <c r="A184" s="109">
        <f t="shared" si="10"/>
        <v>164</v>
      </c>
      <c r="B184" s="134" t="s">
        <v>307</v>
      </c>
      <c r="C184" s="111" t="s">
        <v>18</v>
      </c>
      <c r="D184" s="135" t="s">
        <v>308</v>
      </c>
      <c r="E184" s="111" t="s">
        <v>14</v>
      </c>
      <c r="F184" s="111" t="s">
        <v>32</v>
      </c>
      <c r="G184" s="111"/>
      <c r="H184" s="111"/>
      <c r="I184" s="111"/>
      <c r="J184" s="111"/>
      <c r="K184" s="111"/>
      <c r="L184" s="111"/>
      <c r="M184" s="111"/>
      <c r="N184" s="111"/>
      <c r="O184" s="113"/>
    </row>
    <row r="185" ht="42.0" customHeight="1">
      <c r="A185" s="114">
        <f t="shared" si="10"/>
        <v>165</v>
      </c>
      <c r="B185" s="132" t="s">
        <v>309</v>
      </c>
      <c r="C185" s="116" t="s">
        <v>18</v>
      </c>
      <c r="D185" s="133" t="s">
        <v>308</v>
      </c>
      <c r="E185" s="116" t="s">
        <v>33</v>
      </c>
      <c r="F185" s="116" t="s">
        <v>32</v>
      </c>
      <c r="G185" s="116"/>
      <c r="H185" s="116"/>
      <c r="I185" s="116"/>
      <c r="J185" s="116"/>
      <c r="K185" s="116"/>
      <c r="L185" s="116"/>
      <c r="M185" s="116"/>
      <c r="N185" s="116"/>
      <c r="O185" s="118"/>
    </row>
    <row r="186" ht="42.0" customHeight="1">
      <c r="A186" s="109">
        <f t="shared" si="10"/>
        <v>166</v>
      </c>
      <c r="B186" s="134" t="s">
        <v>310</v>
      </c>
      <c r="C186" s="111" t="s">
        <v>18</v>
      </c>
      <c r="D186" s="135" t="s">
        <v>311</v>
      </c>
      <c r="E186" s="111" t="s">
        <v>23</v>
      </c>
      <c r="F186" s="111" t="s">
        <v>32</v>
      </c>
      <c r="G186" s="111"/>
      <c r="H186" s="111"/>
      <c r="I186" s="111"/>
      <c r="J186" s="111"/>
      <c r="K186" s="111"/>
      <c r="L186" s="111"/>
      <c r="M186" s="111"/>
      <c r="N186" s="111"/>
      <c r="O186" s="113"/>
    </row>
    <row r="187" ht="42.0" customHeight="1">
      <c r="A187" s="114">
        <f t="shared" si="10"/>
        <v>167</v>
      </c>
      <c r="B187" s="132" t="s">
        <v>312</v>
      </c>
      <c r="C187" s="116" t="s">
        <v>18</v>
      </c>
      <c r="D187" s="133" t="s">
        <v>244</v>
      </c>
      <c r="E187" s="116" t="s">
        <v>33</v>
      </c>
      <c r="F187" s="116" t="s">
        <v>32</v>
      </c>
      <c r="G187" s="116"/>
      <c r="H187" s="116"/>
      <c r="I187" s="116"/>
      <c r="J187" s="116"/>
      <c r="K187" s="116"/>
      <c r="L187" s="116"/>
      <c r="M187" s="116"/>
      <c r="N187" s="116"/>
      <c r="O187" s="118"/>
    </row>
    <row r="188" ht="42.0" customHeight="1">
      <c r="A188" s="109">
        <f t="shared" si="10"/>
        <v>168</v>
      </c>
      <c r="B188" s="134" t="s">
        <v>313</v>
      </c>
      <c r="C188" s="111" t="s">
        <v>18</v>
      </c>
      <c r="D188" s="135" t="s">
        <v>263</v>
      </c>
      <c r="E188" s="111" t="s">
        <v>11</v>
      </c>
      <c r="F188" s="111" t="s">
        <v>32</v>
      </c>
      <c r="G188" s="111" t="s">
        <v>24</v>
      </c>
      <c r="H188" s="111"/>
      <c r="I188" s="111"/>
      <c r="J188" s="111"/>
      <c r="K188" s="111"/>
      <c r="L188" s="111"/>
      <c r="M188" s="111"/>
      <c r="N188" s="111"/>
      <c r="O188" s="113"/>
    </row>
    <row r="189" ht="42.0" customHeight="1">
      <c r="A189" s="114">
        <f t="shared" si="10"/>
        <v>169</v>
      </c>
      <c r="B189" s="143" t="s">
        <v>314</v>
      </c>
      <c r="C189" s="116" t="s">
        <v>18</v>
      </c>
      <c r="D189" s="133" t="s">
        <v>236</v>
      </c>
      <c r="E189" s="116" t="s">
        <v>25</v>
      </c>
      <c r="F189" s="116" t="s">
        <v>32</v>
      </c>
      <c r="G189" s="116"/>
      <c r="H189" s="116"/>
      <c r="I189" s="116"/>
      <c r="J189" s="116"/>
      <c r="K189" s="116"/>
      <c r="L189" s="116"/>
      <c r="M189" s="116"/>
      <c r="N189" s="116"/>
      <c r="O189" s="118"/>
    </row>
    <row r="190" ht="42.0" customHeight="1">
      <c r="A190" s="109">
        <f t="shared" si="10"/>
        <v>170</v>
      </c>
      <c r="B190" s="134" t="s">
        <v>315</v>
      </c>
      <c r="C190" s="111" t="s">
        <v>18</v>
      </c>
      <c r="D190" s="135" t="s">
        <v>222</v>
      </c>
      <c r="E190" s="111" t="s">
        <v>25</v>
      </c>
      <c r="F190" s="111" t="s">
        <v>32</v>
      </c>
      <c r="G190" s="111"/>
      <c r="H190" s="111"/>
      <c r="I190" s="111"/>
      <c r="J190" s="111"/>
      <c r="K190" s="111"/>
      <c r="L190" s="111"/>
      <c r="M190" s="111"/>
      <c r="N190" s="111"/>
      <c r="O190" s="113"/>
    </row>
    <row r="191" ht="42.0" customHeight="1">
      <c r="A191" s="114">
        <f t="shared" si="10"/>
        <v>171</v>
      </c>
      <c r="B191" s="132" t="s">
        <v>316</v>
      </c>
      <c r="C191" s="116" t="s">
        <v>18</v>
      </c>
      <c r="D191" s="133" t="s">
        <v>317</v>
      </c>
      <c r="E191" s="116" t="s">
        <v>25</v>
      </c>
      <c r="F191" s="116" t="s">
        <v>32</v>
      </c>
      <c r="G191" s="116"/>
      <c r="H191" s="116"/>
      <c r="I191" s="116"/>
      <c r="J191" s="116"/>
      <c r="K191" s="116"/>
      <c r="L191" s="116"/>
      <c r="M191" s="116"/>
      <c r="N191" s="116"/>
      <c r="O191" s="118"/>
    </row>
    <row r="192" ht="42.0" customHeight="1">
      <c r="A192" s="109">
        <f t="shared" si="10"/>
        <v>172</v>
      </c>
      <c r="B192" s="144" t="s">
        <v>318</v>
      </c>
      <c r="C192" s="111" t="s">
        <v>18</v>
      </c>
      <c r="D192" s="135" t="s">
        <v>319</v>
      </c>
      <c r="E192" s="111" t="s">
        <v>14</v>
      </c>
      <c r="F192" s="111" t="s">
        <v>32</v>
      </c>
      <c r="G192" s="111"/>
      <c r="H192" s="111"/>
      <c r="I192" s="111"/>
      <c r="J192" s="111"/>
      <c r="K192" s="111"/>
      <c r="L192" s="111"/>
      <c r="M192" s="111"/>
      <c r="N192" s="111"/>
      <c r="O192" s="113"/>
    </row>
    <row r="193" ht="42.0" customHeight="1">
      <c r="A193" s="114">
        <f t="shared" si="10"/>
        <v>173</v>
      </c>
      <c r="B193" s="143" t="s">
        <v>320</v>
      </c>
      <c r="C193" s="116" t="s">
        <v>18</v>
      </c>
      <c r="D193" s="133" t="s">
        <v>321</v>
      </c>
      <c r="E193" s="116" t="s">
        <v>14</v>
      </c>
      <c r="F193" s="116" t="s">
        <v>32</v>
      </c>
      <c r="G193" s="116"/>
      <c r="H193" s="116"/>
      <c r="I193" s="116"/>
      <c r="J193" s="116"/>
      <c r="K193" s="116"/>
      <c r="L193" s="116"/>
      <c r="M193" s="116"/>
      <c r="N193" s="116"/>
      <c r="O193" s="118"/>
    </row>
    <row r="194" ht="42.0" customHeight="1">
      <c r="A194" s="109">
        <f t="shared" si="10"/>
        <v>174</v>
      </c>
      <c r="B194" s="144" t="s">
        <v>322</v>
      </c>
      <c r="C194" s="111" t="s">
        <v>18</v>
      </c>
      <c r="D194" s="135" t="s">
        <v>323</v>
      </c>
      <c r="E194" s="111" t="s">
        <v>11</v>
      </c>
      <c r="F194" s="111" t="s">
        <v>32</v>
      </c>
      <c r="G194" s="111"/>
      <c r="H194" s="111"/>
      <c r="I194" s="111"/>
      <c r="J194" s="111"/>
      <c r="K194" s="111"/>
      <c r="L194" s="111"/>
      <c r="M194" s="111"/>
      <c r="N194" s="111"/>
      <c r="O194" s="113"/>
    </row>
    <row r="195" ht="42.0" customHeight="1">
      <c r="A195" s="114">
        <f t="shared" si="10"/>
        <v>175</v>
      </c>
      <c r="B195" s="143" t="s">
        <v>324</v>
      </c>
      <c r="C195" s="116" t="s">
        <v>18</v>
      </c>
      <c r="D195" s="133"/>
      <c r="E195" s="116" t="s">
        <v>11</v>
      </c>
      <c r="F195" s="116" t="s">
        <v>32</v>
      </c>
      <c r="G195" s="116"/>
      <c r="H195" s="116"/>
      <c r="I195" s="116"/>
      <c r="J195" s="116"/>
      <c r="K195" s="116"/>
      <c r="L195" s="116"/>
      <c r="M195" s="116"/>
      <c r="N195" s="116"/>
      <c r="O195" s="118"/>
    </row>
    <row r="196" ht="42.0" customHeight="1">
      <c r="A196" s="109">
        <f t="shared" si="10"/>
        <v>176</v>
      </c>
      <c r="B196" s="144" t="s">
        <v>325</v>
      </c>
      <c r="C196" s="111" t="s">
        <v>18</v>
      </c>
      <c r="D196" s="135" t="s">
        <v>326</v>
      </c>
      <c r="E196" s="111" t="s">
        <v>14</v>
      </c>
      <c r="F196" s="111" t="s">
        <v>32</v>
      </c>
      <c r="G196" s="111"/>
      <c r="H196" s="111"/>
      <c r="I196" s="111"/>
      <c r="J196" s="111"/>
      <c r="K196" s="111"/>
      <c r="L196" s="111"/>
      <c r="M196" s="111"/>
      <c r="N196" s="111"/>
      <c r="O196" s="113"/>
    </row>
    <row r="197" ht="42.0" customHeight="1">
      <c r="A197" s="114">
        <f t="shared" si="10"/>
        <v>177</v>
      </c>
      <c r="B197" s="143" t="s">
        <v>327</v>
      </c>
      <c r="C197" s="116" t="s">
        <v>18</v>
      </c>
      <c r="D197" s="133" t="s">
        <v>184</v>
      </c>
      <c r="E197" s="116" t="s">
        <v>14</v>
      </c>
      <c r="F197" s="116" t="s">
        <v>32</v>
      </c>
      <c r="G197" s="116"/>
      <c r="H197" s="116"/>
      <c r="I197" s="116"/>
      <c r="J197" s="116"/>
      <c r="K197" s="116"/>
      <c r="L197" s="116"/>
      <c r="M197" s="116"/>
      <c r="N197" s="116"/>
      <c r="O197" s="118"/>
    </row>
    <row r="198" ht="42.0" customHeight="1">
      <c r="A198" s="109">
        <f t="shared" si="10"/>
        <v>178</v>
      </c>
      <c r="B198" s="144" t="s">
        <v>328</v>
      </c>
      <c r="C198" s="111" t="s">
        <v>18</v>
      </c>
      <c r="D198" s="135" t="s">
        <v>197</v>
      </c>
      <c r="E198" s="111" t="s">
        <v>17</v>
      </c>
      <c r="F198" s="111" t="s">
        <v>32</v>
      </c>
      <c r="G198" s="111"/>
      <c r="H198" s="111"/>
      <c r="I198" s="111"/>
      <c r="J198" s="111"/>
      <c r="K198" s="111"/>
      <c r="L198" s="111"/>
      <c r="M198" s="111"/>
      <c r="N198" s="111"/>
      <c r="O198" s="113"/>
    </row>
    <row r="199" ht="42.0" customHeight="1">
      <c r="A199" s="114">
        <f t="shared" si="10"/>
        <v>179</v>
      </c>
      <c r="B199" s="145" t="s">
        <v>329</v>
      </c>
      <c r="C199" s="116" t="s">
        <v>18</v>
      </c>
      <c r="D199" s="133" t="s">
        <v>263</v>
      </c>
      <c r="E199" s="116" t="s">
        <v>11</v>
      </c>
      <c r="F199" s="116" t="s">
        <v>32</v>
      </c>
      <c r="G199" s="116"/>
      <c r="H199" s="116"/>
      <c r="I199" s="116"/>
      <c r="J199" s="116"/>
      <c r="K199" s="116"/>
      <c r="L199" s="116"/>
      <c r="M199" s="116"/>
      <c r="N199" s="116"/>
      <c r="O199" s="118"/>
    </row>
    <row r="200" ht="42.0" customHeight="1">
      <c r="A200" s="109">
        <f t="shared" si="10"/>
        <v>180</v>
      </c>
      <c r="B200" s="144" t="s">
        <v>330</v>
      </c>
      <c r="C200" s="111" t="s">
        <v>18</v>
      </c>
      <c r="D200" s="135" t="s">
        <v>331</v>
      </c>
      <c r="E200" s="111" t="s">
        <v>11</v>
      </c>
      <c r="F200" s="111" t="s">
        <v>32</v>
      </c>
      <c r="G200" s="111"/>
      <c r="H200" s="111"/>
      <c r="I200" s="111"/>
      <c r="J200" s="111"/>
      <c r="K200" s="111"/>
      <c r="L200" s="111"/>
      <c r="M200" s="111"/>
      <c r="N200" s="111"/>
      <c r="O200" s="113"/>
    </row>
    <row r="201" ht="42.0" customHeight="1">
      <c r="A201" s="114">
        <f t="shared" si="10"/>
        <v>181</v>
      </c>
      <c r="B201" s="143" t="s">
        <v>332</v>
      </c>
      <c r="C201" s="116" t="s">
        <v>18</v>
      </c>
      <c r="D201" s="133" t="s">
        <v>50</v>
      </c>
      <c r="E201" s="116" t="s">
        <v>23</v>
      </c>
      <c r="F201" s="116" t="s">
        <v>32</v>
      </c>
      <c r="G201" s="116"/>
      <c r="H201" s="116"/>
      <c r="I201" s="116"/>
      <c r="J201" s="116"/>
      <c r="K201" s="116"/>
      <c r="L201" s="116"/>
      <c r="M201" s="116"/>
      <c r="N201" s="116"/>
      <c r="O201" s="118"/>
    </row>
    <row r="202" ht="42.0" customHeight="1">
      <c r="A202" s="109">
        <f t="shared" si="10"/>
        <v>182</v>
      </c>
      <c r="B202" s="144" t="s">
        <v>333</v>
      </c>
      <c r="C202" s="111" t="s">
        <v>18</v>
      </c>
      <c r="D202" s="135" t="s">
        <v>334</v>
      </c>
      <c r="E202" s="111" t="s">
        <v>23</v>
      </c>
      <c r="F202" s="111" t="s">
        <v>32</v>
      </c>
      <c r="G202" s="111"/>
      <c r="H202" s="111"/>
      <c r="I202" s="111"/>
      <c r="J202" s="111"/>
      <c r="K202" s="111"/>
      <c r="L202" s="111"/>
      <c r="M202" s="111"/>
      <c r="N202" s="111"/>
      <c r="O202" s="113"/>
    </row>
    <row r="203" ht="42.0" customHeight="1">
      <c r="A203" s="114">
        <f t="shared" si="10"/>
        <v>183</v>
      </c>
      <c r="B203" s="143" t="s">
        <v>335</v>
      </c>
      <c r="C203" s="116" t="s">
        <v>18</v>
      </c>
      <c r="D203" s="133" t="s">
        <v>81</v>
      </c>
      <c r="E203" s="116" t="s">
        <v>14</v>
      </c>
      <c r="F203" s="116" t="s">
        <v>32</v>
      </c>
      <c r="G203" s="116"/>
      <c r="H203" s="116"/>
      <c r="I203" s="116"/>
      <c r="J203" s="116"/>
      <c r="K203" s="116"/>
      <c r="L203" s="116"/>
      <c r="M203" s="116"/>
      <c r="N203" s="116"/>
      <c r="O203" s="118"/>
    </row>
    <row r="204" ht="42.0" customHeight="1">
      <c r="A204" s="109">
        <f t="shared" si="10"/>
        <v>184</v>
      </c>
      <c r="B204" s="134" t="s">
        <v>336</v>
      </c>
      <c r="C204" s="111" t="s">
        <v>21</v>
      </c>
      <c r="D204" s="135" t="s">
        <v>337</v>
      </c>
      <c r="E204" s="111" t="s">
        <v>11</v>
      </c>
      <c r="F204" s="111" t="s">
        <v>13</v>
      </c>
      <c r="G204" s="111"/>
      <c r="H204" s="111"/>
      <c r="I204" s="111"/>
      <c r="J204" s="111"/>
      <c r="K204" s="111"/>
      <c r="L204" s="111"/>
      <c r="M204" s="111"/>
      <c r="N204" s="111"/>
      <c r="O204" s="113"/>
    </row>
    <row r="205" ht="42.0" customHeight="1">
      <c r="A205" s="114">
        <f t="shared" si="10"/>
        <v>185</v>
      </c>
      <c r="B205" s="132" t="s">
        <v>300</v>
      </c>
      <c r="C205" s="116" t="s">
        <v>21</v>
      </c>
      <c r="D205" s="133" t="s">
        <v>301</v>
      </c>
      <c r="E205" s="116" t="s">
        <v>14</v>
      </c>
      <c r="F205" s="116" t="s">
        <v>13</v>
      </c>
      <c r="G205" s="116"/>
      <c r="H205" s="116"/>
      <c r="I205" s="116"/>
      <c r="J205" s="116"/>
      <c r="K205" s="116"/>
      <c r="L205" s="116"/>
      <c r="M205" s="116"/>
      <c r="N205" s="116"/>
      <c r="O205" s="118"/>
    </row>
    <row r="206" ht="42.0" customHeight="1">
      <c r="A206" s="109">
        <f t="shared" si="10"/>
        <v>186</v>
      </c>
      <c r="B206" s="134"/>
      <c r="C206" s="111"/>
      <c r="D206" s="135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3"/>
    </row>
    <row r="207" ht="42.0" customHeight="1">
      <c r="A207" s="114">
        <f t="shared" si="10"/>
        <v>187</v>
      </c>
      <c r="B207" s="132"/>
      <c r="C207" s="116"/>
      <c r="D207" s="133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8"/>
    </row>
    <row r="208" ht="42.0" customHeight="1">
      <c r="A208" s="109">
        <f t="shared" si="10"/>
        <v>188</v>
      </c>
      <c r="B208" s="134"/>
      <c r="C208" s="111"/>
      <c r="D208" s="135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3"/>
    </row>
    <row r="209" ht="42.0" customHeight="1">
      <c r="A209" s="114">
        <f t="shared" si="10"/>
        <v>189</v>
      </c>
      <c r="B209" s="132"/>
      <c r="C209" s="116"/>
      <c r="D209" s="133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8"/>
    </row>
    <row r="210" ht="42.0" customHeight="1">
      <c r="A210" s="109">
        <f t="shared" si="10"/>
        <v>190</v>
      </c>
      <c r="B210" s="134"/>
      <c r="C210" s="111"/>
      <c r="D210" s="135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3"/>
    </row>
    <row r="211" ht="42.0" customHeight="1">
      <c r="A211" s="114">
        <f t="shared" si="10"/>
        <v>191</v>
      </c>
      <c r="B211" s="132"/>
      <c r="C211" s="116"/>
      <c r="D211" s="133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8"/>
    </row>
    <row r="212" ht="42.0" customHeight="1">
      <c r="A212" s="109">
        <f t="shared" si="10"/>
        <v>192</v>
      </c>
      <c r="B212" s="134"/>
      <c r="C212" s="111"/>
      <c r="D212" s="135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3"/>
    </row>
    <row r="213" ht="42.0" customHeight="1">
      <c r="A213" s="114">
        <f t="shared" si="10"/>
        <v>193</v>
      </c>
      <c r="B213" s="132"/>
      <c r="C213" s="116"/>
      <c r="D213" s="133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8"/>
    </row>
    <row r="214" ht="42.0" customHeight="1">
      <c r="A214" s="109">
        <f t="shared" si="10"/>
        <v>194</v>
      </c>
      <c r="B214" s="134"/>
      <c r="C214" s="111"/>
      <c r="D214" s="135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3"/>
    </row>
    <row r="215" ht="42.0" customHeight="1">
      <c r="A215" s="114">
        <f t="shared" si="10"/>
        <v>195</v>
      </c>
      <c r="B215" s="132"/>
      <c r="C215" s="116"/>
      <c r="D215" s="133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8"/>
    </row>
    <row r="216" ht="42.0" customHeight="1">
      <c r="A216" s="109">
        <f t="shared" si="10"/>
        <v>196</v>
      </c>
      <c r="B216" s="134"/>
      <c r="C216" s="111"/>
      <c r="D216" s="135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3"/>
    </row>
    <row r="217" ht="42.0" customHeight="1">
      <c r="A217" s="114">
        <f t="shared" si="10"/>
        <v>197</v>
      </c>
      <c r="B217" s="132"/>
      <c r="C217" s="116"/>
      <c r="D217" s="133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8"/>
    </row>
    <row r="218" ht="42.0" customHeight="1">
      <c r="A218" s="109">
        <f t="shared" si="10"/>
        <v>198</v>
      </c>
      <c r="B218" s="134"/>
      <c r="C218" s="111"/>
      <c r="D218" s="135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3"/>
    </row>
    <row r="219" ht="42.0" customHeight="1">
      <c r="A219" s="114">
        <f t="shared" si="10"/>
        <v>199</v>
      </c>
      <c r="B219" s="132"/>
      <c r="C219" s="116"/>
      <c r="D219" s="133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8"/>
    </row>
    <row r="220" ht="42.0" customHeight="1">
      <c r="A220" s="109">
        <f t="shared" si="10"/>
        <v>200</v>
      </c>
      <c r="B220" s="134"/>
      <c r="C220" s="111"/>
      <c r="D220" s="135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3"/>
    </row>
    <row r="221" ht="42.0" customHeight="1">
      <c r="A221" s="114">
        <f t="shared" si="10"/>
        <v>201</v>
      </c>
      <c r="B221" s="132"/>
      <c r="C221" s="116"/>
      <c r="D221" s="133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8"/>
    </row>
    <row r="222" ht="42.0" customHeight="1">
      <c r="A222" s="109">
        <f t="shared" si="10"/>
        <v>202</v>
      </c>
      <c r="B222" s="134"/>
      <c r="C222" s="111"/>
      <c r="D222" s="135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3"/>
    </row>
    <row r="223" ht="42.0" customHeight="1">
      <c r="A223" s="114">
        <f t="shared" si="10"/>
        <v>203</v>
      </c>
      <c r="B223" s="132"/>
      <c r="C223" s="116"/>
      <c r="D223" s="133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8"/>
    </row>
    <row r="224" ht="42.0" customHeight="1">
      <c r="A224" s="109">
        <f t="shared" si="10"/>
        <v>204</v>
      </c>
      <c r="B224" s="134"/>
      <c r="C224" s="111"/>
      <c r="D224" s="135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3"/>
    </row>
    <row r="225" ht="42.0" customHeight="1">
      <c r="A225" s="114">
        <f t="shared" si="10"/>
        <v>205</v>
      </c>
      <c r="B225" s="132"/>
      <c r="C225" s="116"/>
      <c r="D225" s="133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8"/>
    </row>
    <row r="226" ht="42.0" customHeight="1">
      <c r="A226" s="109">
        <f t="shared" si="10"/>
        <v>206</v>
      </c>
      <c r="B226" s="134"/>
      <c r="C226" s="111"/>
      <c r="D226" s="135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3"/>
    </row>
    <row r="227" ht="42.0" customHeight="1">
      <c r="A227" s="114">
        <f t="shared" si="10"/>
        <v>207</v>
      </c>
      <c r="B227" s="132"/>
      <c r="C227" s="116"/>
      <c r="D227" s="133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8"/>
    </row>
    <row r="228" ht="42.0" customHeight="1">
      <c r="A228" s="109">
        <f t="shared" si="10"/>
        <v>208</v>
      </c>
      <c r="B228" s="134"/>
      <c r="C228" s="111"/>
      <c r="D228" s="135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3"/>
    </row>
    <row r="229" ht="42.0" customHeight="1">
      <c r="A229" s="114">
        <f t="shared" si="10"/>
        <v>209</v>
      </c>
      <c r="B229" s="132"/>
      <c r="C229" s="116"/>
      <c r="D229" s="133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8"/>
    </row>
    <row r="230" ht="42.0" customHeight="1">
      <c r="A230" s="109">
        <f t="shared" si="10"/>
        <v>210</v>
      </c>
      <c r="B230" s="134"/>
      <c r="C230" s="111"/>
      <c r="D230" s="135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3"/>
    </row>
    <row r="231" ht="42.0" customHeight="1">
      <c r="A231" s="114">
        <f t="shared" si="10"/>
        <v>211</v>
      </c>
      <c r="B231" s="132"/>
      <c r="C231" s="116"/>
      <c r="D231" s="133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8"/>
    </row>
    <row r="232" ht="42.0" customHeight="1">
      <c r="A232" s="109">
        <f t="shared" si="10"/>
        <v>212</v>
      </c>
      <c r="B232" s="134"/>
      <c r="C232" s="111"/>
      <c r="D232" s="135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3"/>
    </row>
    <row r="233" ht="42.0" customHeight="1">
      <c r="A233" s="114">
        <f t="shared" si="10"/>
        <v>213</v>
      </c>
      <c r="B233" s="132"/>
      <c r="C233" s="116"/>
      <c r="D233" s="133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8"/>
    </row>
    <row r="234" ht="42.0" customHeight="1">
      <c r="A234" s="109">
        <f t="shared" si="10"/>
        <v>214</v>
      </c>
      <c r="B234" s="134"/>
      <c r="C234" s="111"/>
      <c r="D234" s="135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3"/>
    </row>
    <row r="235" ht="42.0" customHeight="1">
      <c r="A235" s="114">
        <f t="shared" si="10"/>
        <v>215</v>
      </c>
      <c r="B235" s="132"/>
      <c r="C235" s="116"/>
      <c r="D235" s="133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8"/>
    </row>
    <row r="236" ht="42.0" customHeight="1">
      <c r="A236" s="109">
        <f t="shared" si="10"/>
        <v>216</v>
      </c>
      <c r="B236" s="134"/>
      <c r="C236" s="111"/>
      <c r="D236" s="135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3"/>
    </row>
    <row r="237" ht="42.0" customHeight="1">
      <c r="A237" s="114">
        <f t="shared" si="10"/>
        <v>217</v>
      </c>
      <c r="B237" s="132"/>
      <c r="C237" s="116"/>
      <c r="D237" s="133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8"/>
    </row>
    <row r="238" ht="42.0" customHeight="1">
      <c r="A238" s="109">
        <f t="shared" si="10"/>
        <v>218</v>
      </c>
      <c r="B238" s="134"/>
      <c r="C238" s="111"/>
      <c r="D238" s="135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3"/>
    </row>
    <row r="239" ht="42.0" customHeight="1">
      <c r="A239" s="114">
        <f t="shared" si="10"/>
        <v>219</v>
      </c>
      <c r="B239" s="132"/>
      <c r="C239" s="116"/>
      <c r="D239" s="133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8"/>
    </row>
    <row r="240" ht="41.25" customHeight="1">
      <c r="A240" s="109">
        <f t="shared" si="10"/>
        <v>220</v>
      </c>
      <c r="B240" s="134"/>
      <c r="C240" s="111"/>
      <c r="D240" s="135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3"/>
    </row>
    <row r="241" ht="41.25" customHeight="1">
      <c r="A241" s="114">
        <f t="shared" si="10"/>
        <v>221</v>
      </c>
      <c r="B241" s="132"/>
      <c r="C241" s="116"/>
      <c r="D241" s="133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8"/>
    </row>
    <row r="242" ht="41.25" customHeight="1">
      <c r="A242" s="109">
        <f t="shared" si="10"/>
        <v>222</v>
      </c>
      <c r="B242" s="134"/>
      <c r="C242" s="111"/>
      <c r="D242" s="135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3"/>
    </row>
    <row r="243" ht="41.25" customHeight="1">
      <c r="A243" s="114">
        <f t="shared" si="10"/>
        <v>223</v>
      </c>
      <c r="B243" s="132"/>
      <c r="C243" s="116"/>
      <c r="D243" s="133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8"/>
    </row>
    <row r="244" ht="41.25" customHeight="1">
      <c r="A244" s="146"/>
      <c r="B244" s="134"/>
      <c r="C244" s="111"/>
      <c r="D244" s="135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3"/>
    </row>
    <row r="245" ht="41.25" customHeight="1">
      <c r="A245" s="147"/>
      <c r="B245" s="132"/>
      <c r="C245" s="116"/>
      <c r="D245" s="133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8"/>
    </row>
    <row r="246" ht="41.25" customHeight="1">
      <c r="A246" s="146"/>
      <c r="B246" s="134"/>
      <c r="C246" s="111"/>
      <c r="D246" s="135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3"/>
    </row>
    <row r="247" ht="41.25" customHeight="1">
      <c r="A247" s="147"/>
      <c r="B247" s="132"/>
      <c r="C247" s="116"/>
      <c r="D247" s="133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8"/>
    </row>
    <row r="248" ht="41.25" customHeight="1">
      <c r="A248" s="146"/>
      <c r="B248" s="134"/>
      <c r="C248" s="111"/>
      <c r="D248" s="135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3"/>
    </row>
    <row r="249" ht="41.25" customHeight="1">
      <c r="A249" s="147"/>
      <c r="B249" s="132"/>
      <c r="C249" s="116"/>
      <c r="D249" s="133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8"/>
    </row>
    <row r="250" ht="41.25" customHeight="1">
      <c r="A250" s="148"/>
      <c r="B250" s="134"/>
      <c r="C250" s="111"/>
      <c r="D250" s="135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3"/>
    </row>
    <row r="251" ht="1.5" customHeight="1">
      <c r="A251" s="149"/>
      <c r="B251" s="150"/>
      <c r="C251" s="151"/>
      <c r="D251" s="152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4"/>
    </row>
    <row r="252" ht="1.5" customHeight="1">
      <c r="A252" s="155"/>
      <c r="B252" s="156"/>
      <c r="C252" s="157"/>
      <c r="D252" s="158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60"/>
    </row>
    <row r="253" ht="1.5" customHeight="1">
      <c r="A253" s="161"/>
      <c r="B253" s="162"/>
      <c r="C253" s="163"/>
      <c r="D253" s="164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6"/>
    </row>
    <row r="254" ht="1.5" customHeight="1">
      <c r="A254" s="155"/>
      <c r="B254" s="156"/>
      <c r="C254" s="157"/>
      <c r="D254" s="158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60"/>
    </row>
    <row r="255" ht="1.5" customHeight="1">
      <c r="A255" s="161"/>
      <c r="B255" s="162"/>
      <c r="C255" s="163"/>
      <c r="D255" s="164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6"/>
    </row>
    <row r="256" ht="1.5" customHeight="1">
      <c r="A256" s="155"/>
      <c r="B256" s="156"/>
      <c r="C256" s="157"/>
      <c r="D256" s="158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60"/>
    </row>
    <row r="257" ht="1.5" customHeight="1">
      <c r="A257" s="161"/>
      <c r="B257" s="162"/>
      <c r="C257" s="163"/>
      <c r="D257" s="164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6"/>
    </row>
    <row r="258" ht="1.5" customHeight="1">
      <c r="A258" s="155"/>
      <c r="B258" s="156"/>
      <c r="C258" s="157"/>
      <c r="D258" s="158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60"/>
    </row>
    <row r="259" ht="1.5" customHeight="1">
      <c r="A259" s="161"/>
      <c r="B259" s="162"/>
      <c r="C259" s="163"/>
      <c r="D259" s="164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6"/>
    </row>
    <row r="260" ht="1.5" customHeight="1">
      <c r="A260" s="155"/>
      <c r="B260" s="156"/>
      <c r="C260" s="157"/>
      <c r="D260" s="158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60"/>
    </row>
    <row r="261" ht="1.5" customHeight="1">
      <c r="A261" s="161"/>
      <c r="B261" s="162"/>
      <c r="C261" s="163"/>
      <c r="D261" s="164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6"/>
    </row>
    <row r="262" ht="1.5" customHeight="1">
      <c r="A262" s="155"/>
      <c r="B262" s="156"/>
      <c r="C262" s="157"/>
      <c r="D262" s="158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60"/>
    </row>
    <row r="263" ht="1.5" customHeight="1">
      <c r="A263" s="161"/>
      <c r="B263" s="162"/>
      <c r="C263" s="163"/>
      <c r="D263" s="164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6"/>
    </row>
    <row r="264" ht="1.5" customHeight="1">
      <c r="A264" s="155"/>
      <c r="B264" s="156"/>
      <c r="C264" s="157"/>
      <c r="D264" s="158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60"/>
    </row>
    <row r="265" ht="1.5" customHeight="1">
      <c r="A265" s="161"/>
      <c r="B265" s="162"/>
      <c r="C265" s="163"/>
      <c r="D265" s="164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6"/>
    </row>
    <row r="266" ht="1.5" customHeight="1">
      <c r="A266" s="155"/>
      <c r="B266" s="156"/>
      <c r="C266" s="157"/>
      <c r="D266" s="158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60"/>
    </row>
    <row r="267" ht="1.5" customHeight="1">
      <c r="A267" s="161"/>
      <c r="B267" s="162"/>
      <c r="C267" s="163"/>
      <c r="D267" s="164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6"/>
    </row>
    <row r="268" ht="1.5" customHeight="1">
      <c r="A268" s="155"/>
      <c r="B268" s="156"/>
      <c r="C268" s="157"/>
      <c r="D268" s="158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60"/>
    </row>
    <row r="269" ht="1.5" customHeight="1">
      <c r="A269" s="161"/>
      <c r="B269" s="162"/>
      <c r="C269" s="163"/>
      <c r="D269" s="164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6"/>
    </row>
    <row r="270" ht="1.5" customHeight="1">
      <c r="A270" s="155"/>
      <c r="B270" s="156"/>
      <c r="C270" s="157"/>
      <c r="D270" s="158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60"/>
    </row>
    <row r="271" ht="1.5" customHeight="1">
      <c r="A271" s="161"/>
      <c r="B271" s="162"/>
      <c r="C271" s="163"/>
      <c r="D271" s="164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6"/>
    </row>
    <row r="272" ht="1.5" customHeight="1">
      <c r="A272" s="155"/>
      <c r="B272" s="156"/>
      <c r="C272" s="157"/>
      <c r="D272" s="158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60"/>
    </row>
    <row r="273" ht="1.5" customHeight="1">
      <c r="A273" s="161"/>
      <c r="B273" s="162"/>
      <c r="C273" s="163"/>
      <c r="D273" s="164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6"/>
    </row>
    <row r="274" ht="1.5" customHeight="1">
      <c r="A274" s="155"/>
      <c r="B274" s="156"/>
      <c r="C274" s="157"/>
      <c r="D274" s="158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60"/>
    </row>
    <row r="275" ht="1.5" customHeight="1">
      <c r="A275" s="161"/>
      <c r="B275" s="162"/>
      <c r="C275" s="163"/>
      <c r="D275" s="164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6"/>
    </row>
    <row r="276" ht="1.5" customHeight="1">
      <c r="A276" s="155"/>
      <c r="B276" s="156"/>
      <c r="C276" s="157"/>
      <c r="D276" s="158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60"/>
    </row>
    <row r="277" ht="1.5" customHeight="1">
      <c r="A277" s="161"/>
      <c r="B277" s="162"/>
      <c r="C277" s="163"/>
      <c r="D277" s="164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6"/>
    </row>
    <row r="278" ht="1.5" customHeight="1">
      <c r="A278" s="155"/>
      <c r="B278" s="156"/>
      <c r="C278" s="157"/>
      <c r="D278" s="158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60"/>
    </row>
    <row r="279" ht="1.5" customHeight="1">
      <c r="A279" s="161"/>
      <c r="B279" s="162"/>
      <c r="C279" s="163"/>
      <c r="D279" s="164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6"/>
    </row>
    <row r="280" ht="1.5" customHeight="1">
      <c r="A280" s="155"/>
      <c r="B280" s="156"/>
      <c r="C280" s="157"/>
      <c r="D280" s="158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60"/>
    </row>
    <row r="281" ht="1.5" customHeight="1">
      <c r="A281" s="161"/>
      <c r="B281" s="162"/>
      <c r="C281" s="163"/>
      <c r="D281" s="164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6"/>
    </row>
    <row r="282" ht="1.5" customHeight="1">
      <c r="A282" s="155"/>
      <c r="B282" s="156"/>
      <c r="C282" s="157"/>
      <c r="D282" s="158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60"/>
    </row>
    <row r="283" ht="1.5" customHeight="1">
      <c r="A283" s="161"/>
      <c r="B283" s="162"/>
      <c r="C283" s="163"/>
      <c r="D283" s="164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6"/>
    </row>
    <row r="284" ht="1.5" customHeight="1">
      <c r="A284" s="155"/>
      <c r="B284" s="156"/>
      <c r="C284" s="157"/>
      <c r="D284" s="158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60"/>
    </row>
    <row r="285" ht="1.5" customHeight="1">
      <c r="A285" s="161"/>
      <c r="B285" s="162"/>
      <c r="C285" s="163"/>
      <c r="D285" s="164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6"/>
    </row>
    <row r="286" ht="1.5" customHeight="1">
      <c r="A286" s="155"/>
      <c r="B286" s="156"/>
      <c r="C286" s="157"/>
      <c r="D286" s="158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60"/>
    </row>
    <row r="287" ht="1.5" customHeight="1">
      <c r="A287" s="161"/>
      <c r="B287" s="162"/>
      <c r="C287" s="163"/>
      <c r="D287" s="164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6"/>
    </row>
    <row r="288" ht="1.5" customHeight="1">
      <c r="A288" s="155"/>
      <c r="B288" s="156"/>
      <c r="C288" s="157"/>
      <c r="D288" s="158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60"/>
    </row>
    <row r="289" ht="1.5" customHeight="1">
      <c r="A289" s="161"/>
      <c r="B289" s="162"/>
      <c r="C289" s="163"/>
      <c r="D289" s="164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6"/>
    </row>
    <row r="290" ht="1.5" customHeight="1">
      <c r="A290" s="155"/>
      <c r="B290" s="156"/>
      <c r="C290" s="157"/>
      <c r="D290" s="158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60"/>
    </row>
    <row r="291" ht="1.5" customHeight="1">
      <c r="A291" s="161"/>
      <c r="B291" s="162"/>
      <c r="C291" s="163"/>
      <c r="D291" s="164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6"/>
    </row>
    <row r="292" ht="1.5" customHeight="1">
      <c r="A292" s="155"/>
      <c r="B292" s="156"/>
      <c r="C292" s="157"/>
      <c r="D292" s="158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60"/>
    </row>
    <row r="293" ht="1.5" customHeight="1">
      <c r="A293" s="161"/>
      <c r="B293" s="162"/>
      <c r="C293" s="163"/>
      <c r="D293" s="164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6"/>
    </row>
    <row r="294" ht="1.5" customHeight="1">
      <c r="A294" s="155"/>
      <c r="B294" s="156"/>
      <c r="C294" s="157"/>
      <c r="D294" s="158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60"/>
    </row>
    <row r="295" ht="1.5" customHeight="1">
      <c r="A295" s="161"/>
      <c r="B295" s="162"/>
      <c r="C295" s="163"/>
      <c r="D295" s="164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6"/>
    </row>
    <row r="296" ht="1.5" customHeight="1">
      <c r="A296" s="155"/>
      <c r="B296" s="156"/>
      <c r="C296" s="157"/>
      <c r="D296" s="158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60"/>
    </row>
    <row r="297" ht="1.5" customHeight="1">
      <c r="A297" s="161"/>
      <c r="B297" s="162"/>
      <c r="C297" s="163"/>
      <c r="D297" s="164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6"/>
    </row>
    <row r="298" ht="1.5" customHeight="1">
      <c r="A298" s="155"/>
      <c r="B298" s="156"/>
      <c r="C298" s="157"/>
      <c r="D298" s="158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60"/>
    </row>
    <row r="299" ht="1.5" customHeight="1">
      <c r="A299" s="161"/>
      <c r="B299" s="162"/>
      <c r="C299" s="163"/>
      <c r="D299" s="164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6"/>
    </row>
    <row r="300" ht="1.5" customHeight="1">
      <c r="A300" s="155"/>
      <c r="B300" s="156"/>
      <c r="C300" s="157"/>
      <c r="D300" s="158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60"/>
    </row>
    <row r="301" ht="1.5" customHeight="1">
      <c r="A301" s="161"/>
      <c r="B301" s="162"/>
      <c r="C301" s="163"/>
      <c r="D301" s="164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6"/>
    </row>
    <row r="302" ht="1.5" customHeight="1">
      <c r="A302" s="155"/>
      <c r="B302" s="156"/>
      <c r="C302" s="157"/>
      <c r="D302" s="158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60"/>
    </row>
    <row r="303" ht="1.5" customHeight="1">
      <c r="A303" s="161"/>
      <c r="B303" s="162"/>
      <c r="C303" s="163"/>
      <c r="D303" s="164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6"/>
    </row>
    <row r="304" ht="1.5" customHeight="1">
      <c r="A304" s="155"/>
      <c r="B304" s="156"/>
      <c r="C304" s="157"/>
      <c r="D304" s="158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60"/>
    </row>
    <row r="305" ht="1.5" customHeight="1">
      <c r="A305" s="161"/>
      <c r="B305" s="162"/>
      <c r="C305" s="163"/>
      <c r="D305" s="164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6"/>
    </row>
    <row r="306" ht="1.5" customHeight="1">
      <c r="A306" s="155"/>
      <c r="B306" s="156"/>
      <c r="C306" s="157"/>
      <c r="D306" s="158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60"/>
    </row>
    <row r="307" ht="1.5" customHeight="1">
      <c r="A307" s="161"/>
      <c r="B307" s="162"/>
      <c r="C307" s="163"/>
      <c r="D307" s="164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6"/>
    </row>
    <row r="308" ht="1.5" customHeight="1">
      <c r="A308" s="155"/>
      <c r="B308" s="156"/>
      <c r="C308" s="157"/>
      <c r="D308" s="158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60"/>
    </row>
    <row r="309" ht="1.5" customHeight="1">
      <c r="A309" s="161"/>
      <c r="B309" s="162"/>
      <c r="C309" s="163"/>
      <c r="D309" s="164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6"/>
    </row>
    <row r="310" ht="1.5" customHeight="1">
      <c r="A310" s="155"/>
      <c r="B310" s="156"/>
      <c r="C310" s="157"/>
      <c r="D310" s="158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60"/>
    </row>
    <row r="311" ht="1.5" customHeight="1">
      <c r="A311" s="161"/>
      <c r="B311" s="162"/>
      <c r="C311" s="163"/>
      <c r="D311" s="164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6"/>
    </row>
    <row r="312" ht="1.5" customHeight="1">
      <c r="A312" s="155"/>
      <c r="B312" s="156"/>
      <c r="C312" s="157"/>
      <c r="D312" s="158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60"/>
    </row>
    <row r="313" ht="1.5" customHeight="1">
      <c r="A313" s="161"/>
      <c r="B313" s="162"/>
      <c r="C313" s="163"/>
      <c r="D313" s="164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6"/>
    </row>
    <row r="314" ht="1.5" customHeight="1">
      <c r="A314" s="155"/>
      <c r="B314" s="156"/>
      <c r="C314" s="157"/>
      <c r="D314" s="158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60"/>
    </row>
    <row r="315" ht="1.5" customHeight="1">
      <c r="A315" s="161"/>
      <c r="B315" s="162"/>
      <c r="C315" s="163"/>
      <c r="D315" s="164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6"/>
    </row>
    <row r="316" ht="1.5" customHeight="1">
      <c r="A316" s="155"/>
      <c r="B316" s="156"/>
      <c r="C316" s="157"/>
      <c r="D316" s="158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60"/>
    </row>
    <row r="317" ht="1.5" customHeight="1">
      <c r="A317" s="161"/>
      <c r="B317" s="162"/>
      <c r="C317" s="163"/>
      <c r="D317" s="164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6"/>
    </row>
    <row r="318" ht="1.5" customHeight="1">
      <c r="A318" s="155"/>
      <c r="B318" s="156"/>
      <c r="C318" s="157"/>
      <c r="D318" s="158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60"/>
    </row>
    <row r="319" ht="1.5" customHeight="1">
      <c r="A319" s="161"/>
      <c r="B319" s="162"/>
      <c r="C319" s="163"/>
      <c r="D319" s="164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6"/>
    </row>
    <row r="320" ht="1.5" customHeight="1">
      <c r="A320" s="155"/>
      <c r="B320" s="156"/>
      <c r="C320" s="157"/>
      <c r="D320" s="158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60"/>
    </row>
    <row r="321" ht="1.5" customHeight="1">
      <c r="A321" s="161"/>
      <c r="B321" s="162"/>
      <c r="C321" s="163"/>
      <c r="D321" s="164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6"/>
    </row>
    <row r="322" ht="1.5" customHeight="1">
      <c r="A322" s="155"/>
      <c r="B322" s="156"/>
      <c r="C322" s="157"/>
      <c r="D322" s="158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60"/>
    </row>
    <row r="323" ht="1.5" customHeight="1">
      <c r="A323" s="161"/>
      <c r="B323" s="162"/>
      <c r="C323" s="163"/>
      <c r="D323" s="164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6"/>
    </row>
    <row r="324" ht="1.5" customHeight="1">
      <c r="A324" s="155"/>
      <c r="B324" s="156"/>
      <c r="C324" s="157"/>
      <c r="D324" s="158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60"/>
    </row>
    <row r="325" ht="1.5" customHeight="1">
      <c r="A325" s="161"/>
      <c r="B325" s="162"/>
      <c r="C325" s="163"/>
      <c r="D325" s="164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6"/>
    </row>
    <row r="326" ht="1.5" customHeight="1">
      <c r="A326" s="155"/>
      <c r="B326" s="156"/>
      <c r="C326" s="157"/>
      <c r="D326" s="158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60"/>
    </row>
    <row r="327" ht="1.5" customHeight="1">
      <c r="A327" s="161"/>
      <c r="B327" s="162"/>
      <c r="C327" s="163"/>
      <c r="D327" s="164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6"/>
    </row>
    <row r="328" ht="1.5" customHeight="1">
      <c r="A328" s="155"/>
      <c r="B328" s="156"/>
      <c r="C328" s="157"/>
      <c r="D328" s="158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60"/>
    </row>
    <row r="329" ht="1.5" customHeight="1">
      <c r="A329" s="161"/>
      <c r="B329" s="162"/>
      <c r="C329" s="163"/>
      <c r="D329" s="164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6"/>
    </row>
    <row r="330" ht="1.5" customHeight="1">
      <c r="A330" s="155"/>
      <c r="B330" s="156"/>
      <c r="C330" s="157"/>
      <c r="D330" s="158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60"/>
    </row>
    <row r="331" ht="1.5" customHeight="1">
      <c r="A331" s="161"/>
      <c r="B331" s="162"/>
      <c r="C331" s="163"/>
      <c r="D331" s="164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6"/>
    </row>
    <row r="332" ht="1.5" customHeight="1">
      <c r="A332" s="155"/>
      <c r="B332" s="156"/>
      <c r="C332" s="157"/>
      <c r="D332" s="158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60"/>
    </row>
    <row r="333" ht="1.5" customHeight="1">
      <c r="A333" s="161"/>
      <c r="B333" s="162"/>
      <c r="C333" s="163"/>
      <c r="D333" s="164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6"/>
    </row>
    <row r="334" ht="1.5" customHeight="1">
      <c r="A334" s="155"/>
      <c r="B334" s="156"/>
      <c r="C334" s="157"/>
      <c r="D334" s="158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60"/>
    </row>
    <row r="335" ht="1.5" customHeight="1">
      <c r="A335" s="161"/>
      <c r="B335" s="162"/>
      <c r="C335" s="163"/>
      <c r="D335" s="164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6"/>
    </row>
    <row r="336" ht="1.5" customHeight="1">
      <c r="A336" s="155"/>
      <c r="B336" s="156"/>
      <c r="C336" s="157"/>
      <c r="D336" s="158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60"/>
    </row>
    <row r="337" ht="1.5" customHeight="1">
      <c r="A337" s="161"/>
      <c r="B337" s="162"/>
      <c r="C337" s="163"/>
      <c r="D337" s="164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6"/>
    </row>
    <row r="338" ht="1.5" customHeight="1">
      <c r="A338" s="155"/>
      <c r="B338" s="156"/>
      <c r="C338" s="157"/>
      <c r="D338" s="158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60"/>
    </row>
    <row r="339" ht="1.5" customHeight="1">
      <c r="A339" s="161"/>
      <c r="B339" s="162"/>
      <c r="C339" s="163"/>
      <c r="D339" s="164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6"/>
    </row>
    <row r="340" ht="1.5" customHeight="1">
      <c r="A340" s="155"/>
      <c r="B340" s="156"/>
      <c r="C340" s="157"/>
      <c r="D340" s="158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60"/>
    </row>
    <row r="341" ht="1.5" customHeight="1">
      <c r="A341" s="161"/>
      <c r="B341" s="162"/>
      <c r="C341" s="163"/>
      <c r="D341" s="164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6"/>
    </row>
    <row r="342" ht="1.5" customHeight="1">
      <c r="A342" s="155"/>
      <c r="B342" s="156"/>
      <c r="C342" s="157"/>
      <c r="D342" s="158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60"/>
    </row>
    <row r="343" ht="1.5" customHeight="1">
      <c r="A343" s="161"/>
      <c r="B343" s="162"/>
      <c r="C343" s="163"/>
      <c r="D343" s="164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6"/>
    </row>
    <row r="344" ht="1.5" customHeight="1">
      <c r="A344" s="155"/>
      <c r="B344" s="156"/>
      <c r="C344" s="157"/>
      <c r="D344" s="158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60"/>
    </row>
    <row r="345" ht="1.5" customHeight="1">
      <c r="A345" s="161"/>
      <c r="B345" s="162"/>
      <c r="C345" s="163"/>
      <c r="D345" s="164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6"/>
    </row>
    <row r="346" ht="1.5" customHeight="1">
      <c r="A346" s="155"/>
      <c r="B346" s="156"/>
      <c r="C346" s="157"/>
      <c r="D346" s="158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60"/>
    </row>
    <row r="347" ht="1.5" customHeight="1">
      <c r="A347" s="161"/>
      <c r="B347" s="162"/>
      <c r="C347" s="163"/>
      <c r="D347" s="164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6"/>
    </row>
    <row r="348" ht="1.5" customHeight="1">
      <c r="A348" s="155"/>
      <c r="B348" s="156"/>
      <c r="C348" s="157"/>
      <c r="D348" s="158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60"/>
    </row>
    <row r="349" ht="1.5" customHeight="1">
      <c r="A349" s="161"/>
      <c r="B349" s="162"/>
      <c r="C349" s="163"/>
      <c r="D349" s="164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6"/>
    </row>
    <row r="350" ht="1.5" customHeight="1">
      <c r="A350" s="155"/>
      <c r="B350" s="156"/>
      <c r="C350" s="157"/>
      <c r="D350" s="158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60"/>
    </row>
    <row r="351" ht="1.5" customHeight="1">
      <c r="A351" s="161"/>
      <c r="B351" s="162"/>
      <c r="C351" s="163"/>
      <c r="D351" s="164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6"/>
    </row>
    <row r="352" ht="1.5" customHeight="1">
      <c r="A352" s="155"/>
      <c r="B352" s="156"/>
      <c r="C352" s="157"/>
      <c r="D352" s="158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60"/>
    </row>
    <row r="353" ht="1.5" customHeight="1">
      <c r="A353" s="161"/>
      <c r="B353" s="162"/>
      <c r="C353" s="163"/>
      <c r="D353" s="164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6"/>
    </row>
    <row r="354" ht="1.5" customHeight="1">
      <c r="A354" s="155"/>
      <c r="B354" s="156"/>
      <c r="C354" s="157"/>
      <c r="D354" s="158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60"/>
    </row>
    <row r="355" ht="1.5" customHeight="1">
      <c r="A355" s="161"/>
      <c r="B355" s="162"/>
      <c r="C355" s="163"/>
      <c r="D355" s="164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6"/>
    </row>
    <row r="356" ht="1.5" customHeight="1">
      <c r="A356" s="155"/>
      <c r="B356" s="156"/>
      <c r="C356" s="157"/>
      <c r="D356" s="158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60"/>
    </row>
    <row r="357" ht="1.5" customHeight="1">
      <c r="A357" s="161"/>
      <c r="B357" s="162"/>
      <c r="C357" s="163"/>
      <c r="D357" s="164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6"/>
    </row>
    <row r="358" ht="1.5" customHeight="1">
      <c r="A358" s="155"/>
      <c r="B358" s="156"/>
      <c r="C358" s="157"/>
      <c r="D358" s="158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60"/>
    </row>
    <row r="359" ht="1.5" customHeight="1">
      <c r="A359" s="161"/>
      <c r="B359" s="162"/>
      <c r="C359" s="163"/>
      <c r="D359" s="164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6"/>
    </row>
    <row r="360" ht="1.5" customHeight="1">
      <c r="A360" s="155"/>
      <c r="B360" s="156"/>
      <c r="C360" s="157"/>
      <c r="D360" s="158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60"/>
    </row>
    <row r="361" ht="1.5" customHeight="1">
      <c r="A361" s="161"/>
      <c r="B361" s="162"/>
      <c r="C361" s="163"/>
      <c r="D361" s="164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6"/>
    </row>
    <row r="362" ht="1.5" customHeight="1">
      <c r="A362" s="155"/>
      <c r="B362" s="156"/>
      <c r="C362" s="157"/>
      <c r="D362" s="158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60"/>
    </row>
    <row r="363" ht="1.5" customHeight="1">
      <c r="A363" s="161"/>
      <c r="B363" s="162"/>
      <c r="C363" s="163"/>
      <c r="D363" s="164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6"/>
    </row>
    <row r="364" ht="1.5" customHeight="1">
      <c r="A364" s="155"/>
      <c r="B364" s="156"/>
      <c r="C364" s="157"/>
      <c r="D364" s="158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60"/>
    </row>
    <row r="365" ht="1.5" customHeight="1">
      <c r="A365" s="161"/>
      <c r="B365" s="162"/>
      <c r="C365" s="163"/>
      <c r="D365" s="164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6"/>
    </row>
    <row r="366" ht="1.5" customHeight="1">
      <c r="A366" s="155"/>
      <c r="B366" s="156"/>
      <c r="C366" s="157"/>
      <c r="D366" s="158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60"/>
    </row>
    <row r="367" ht="1.5" customHeight="1">
      <c r="A367" s="161"/>
      <c r="B367" s="162"/>
      <c r="C367" s="163"/>
      <c r="D367" s="164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6"/>
    </row>
    <row r="368" ht="1.5" customHeight="1">
      <c r="A368" s="155"/>
      <c r="B368" s="156"/>
      <c r="C368" s="157"/>
      <c r="D368" s="158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60"/>
    </row>
    <row r="369" ht="1.5" customHeight="1">
      <c r="A369" s="161"/>
      <c r="B369" s="162"/>
      <c r="C369" s="163"/>
      <c r="D369" s="164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6"/>
    </row>
    <row r="370" ht="1.5" customHeight="1">
      <c r="A370" s="155"/>
      <c r="B370" s="156"/>
      <c r="C370" s="157"/>
      <c r="D370" s="158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60"/>
    </row>
    <row r="371" ht="1.5" customHeight="1">
      <c r="A371" s="161"/>
      <c r="B371" s="162"/>
      <c r="C371" s="163"/>
      <c r="D371" s="164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6"/>
    </row>
    <row r="372" ht="1.5" customHeight="1">
      <c r="A372" s="155"/>
      <c r="B372" s="156"/>
      <c r="C372" s="157"/>
      <c r="D372" s="158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60"/>
    </row>
    <row r="373" ht="1.5" customHeight="1">
      <c r="A373" s="161"/>
      <c r="B373" s="162"/>
      <c r="C373" s="163"/>
      <c r="D373" s="164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6"/>
    </row>
    <row r="374" ht="1.5" customHeight="1">
      <c r="A374" s="155"/>
      <c r="B374" s="156"/>
      <c r="C374" s="157"/>
      <c r="D374" s="158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60"/>
    </row>
    <row r="375" ht="1.5" customHeight="1">
      <c r="A375" s="161"/>
      <c r="B375" s="162"/>
      <c r="C375" s="163"/>
      <c r="D375" s="164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6"/>
    </row>
    <row r="376" ht="1.5" customHeight="1">
      <c r="A376" s="155"/>
      <c r="B376" s="156"/>
      <c r="C376" s="157"/>
      <c r="D376" s="158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60"/>
    </row>
    <row r="377" ht="1.5" customHeight="1">
      <c r="A377" s="161"/>
      <c r="B377" s="162"/>
      <c r="C377" s="163"/>
      <c r="D377" s="164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6"/>
    </row>
    <row r="378" ht="1.5" customHeight="1">
      <c r="A378" s="155"/>
      <c r="B378" s="156"/>
      <c r="C378" s="157"/>
      <c r="D378" s="158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60"/>
    </row>
    <row r="379" ht="1.5" customHeight="1">
      <c r="A379" s="161"/>
      <c r="B379" s="162"/>
      <c r="C379" s="163"/>
      <c r="D379" s="164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6"/>
    </row>
    <row r="380" ht="1.5" customHeight="1">
      <c r="A380" s="155"/>
      <c r="B380" s="156"/>
      <c r="C380" s="157"/>
      <c r="D380" s="158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60"/>
    </row>
    <row r="381" ht="1.5" customHeight="1">
      <c r="A381" s="161"/>
      <c r="B381" s="162"/>
      <c r="C381" s="163"/>
      <c r="D381" s="164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6"/>
    </row>
    <row r="382" ht="1.5" customHeight="1">
      <c r="A382" s="155"/>
      <c r="B382" s="156"/>
      <c r="C382" s="157"/>
      <c r="D382" s="158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60"/>
    </row>
    <row r="383" ht="1.5" customHeight="1">
      <c r="A383" s="161"/>
      <c r="B383" s="162"/>
      <c r="C383" s="163"/>
      <c r="D383" s="164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6"/>
    </row>
    <row r="384" ht="1.5" customHeight="1">
      <c r="A384" s="155"/>
      <c r="B384" s="156"/>
      <c r="C384" s="157"/>
      <c r="D384" s="158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60"/>
    </row>
    <row r="385" ht="1.5" customHeight="1">
      <c r="A385" s="161"/>
      <c r="B385" s="162"/>
      <c r="C385" s="163"/>
      <c r="D385" s="164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6"/>
    </row>
    <row r="386" ht="1.5" customHeight="1">
      <c r="A386" s="155"/>
      <c r="B386" s="156"/>
      <c r="C386" s="157"/>
      <c r="D386" s="158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60"/>
    </row>
    <row r="387" ht="1.5" customHeight="1">
      <c r="A387" s="161"/>
      <c r="B387" s="162"/>
      <c r="C387" s="163"/>
      <c r="D387" s="164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6"/>
    </row>
    <row r="388" ht="1.5" customHeight="1">
      <c r="A388" s="155"/>
      <c r="B388" s="156"/>
      <c r="C388" s="157"/>
      <c r="D388" s="158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60"/>
    </row>
    <row r="389" ht="1.5" customHeight="1">
      <c r="A389" s="161"/>
      <c r="B389" s="162"/>
      <c r="C389" s="163"/>
      <c r="D389" s="164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6"/>
    </row>
    <row r="390" ht="1.5" customHeight="1">
      <c r="A390" s="155"/>
      <c r="B390" s="156"/>
      <c r="C390" s="157"/>
      <c r="D390" s="158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60"/>
    </row>
    <row r="391" ht="1.5" customHeight="1">
      <c r="A391" s="161"/>
      <c r="B391" s="162"/>
      <c r="C391" s="163"/>
      <c r="D391" s="164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6"/>
    </row>
    <row r="392" ht="1.5" customHeight="1">
      <c r="A392" s="155"/>
      <c r="B392" s="156"/>
      <c r="C392" s="157"/>
      <c r="D392" s="158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60"/>
    </row>
    <row r="393" ht="1.5" customHeight="1">
      <c r="A393" s="161"/>
      <c r="B393" s="162"/>
      <c r="C393" s="163"/>
      <c r="D393" s="164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6"/>
    </row>
    <row r="394" ht="1.5" customHeight="1">
      <c r="A394" s="155"/>
      <c r="B394" s="156"/>
      <c r="C394" s="157"/>
      <c r="D394" s="158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60"/>
    </row>
    <row r="395" ht="1.5" customHeight="1">
      <c r="A395" s="161"/>
      <c r="B395" s="162"/>
      <c r="C395" s="163"/>
      <c r="D395" s="164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6"/>
    </row>
    <row r="396" ht="1.5" customHeight="1">
      <c r="A396" s="155"/>
      <c r="B396" s="156"/>
      <c r="C396" s="157"/>
      <c r="D396" s="158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60"/>
    </row>
    <row r="397" ht="1.5" customHeight="1">
      <c r="A397" s="161"/>
      <c r="B397" s="162"/>
      <c r="C397" s="163"/>
      <c r="D397" s="164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6"/>
    </row>
    <row r="398" ht="1.5" customHeight="1">
      <c r="A398" s="155"/>
      <c r="B398" s="156"/>
      <c r="C398" s="157"/>
      <c r="D398" s="158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60"/>
    </row>
    <row r="399" ht="1.5" customHeight="1">
      <c r="A399" s="161"/>
      <c r="B399" s="162"/>
      <c r="C399" s="163"/>
      <c r="D399" s="164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6"/>
    </row>
    <row r="400" ht="1.5" customHeight="1">
      <c r="A400" s="155"/>
      <c r="B400" s="156"/>
      <c r="C400" s="157"/>
      <c r="D400" s="158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60"/>
    </row>
    <row r="401" ht="1.5" customHeight="1">
      <c r="A401" s="161"/>
      <c r="B401" s="162"/>
      <c r="C401" s="163"/>
      <c r="D401" s="164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6"/>
    </row>
    <row r="402" ht="1.5" customHeight="1">
      <c r="A402" s="155"/>
      <c r="B402" s="156"/>
      <c r="C402" s="157"/>
      <c r="D402" s="158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60"/>
    </row>
    <row r="403" ht="1.5" customHeight="1">
      <c r="A403" s="161"/>
      <c r="B403" s="162"/>
      <c r="C403" s="163"/>
      <c r="D403" s="164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6"/>
    </row>
    <row r="404" ht="1.5" customHeight="1">
      <c r="A404" s="155"/>
      <c r="B404" s="156"/>
      <c r="C404" s="157"/>
      <c r="D404" s="158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60"/>
    </row>
    <row r="405" ht="1.5" customHeight="1">
      <c r="A405" s="161"/>
      <c r="B405" s="162"/>
      <c r="C405" s="163"/>
      <c r="D405" s="164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6"/>
    </row>
    <row r="406" ht="1.5" customHeight="1">
      <c r="A406" s="155"/>
      <c r="B406" s="156"/>
      <c r="C406" s="157"/>
      <c r="D406" s="158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60"/>
    </row>
    <row r="407" ht="1.5" customHeight="1">
      <c r="A407" s="161"/>
      <c r="B407" s="162"/>
      <c r="C407" s="163"/>
      <c r="D407" s="164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6"/>
    </row>
    <row r="408" ht="1.5" customHeight="1">
      <c r="A408" s="155"/>
      <c r="B408" s="156"/>
      <c r="C408" s="157"/>
      <c r="D408" s="158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60"/>
    </row>
    <row r="409" ht="1.5" customHeight="1">
      <c r="A409" s="161"/>
      <c r="B409" s="162"/>
      <c r="C409" s="163"/>
      <c r="D409" s="164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6"/>
    </row>
    <row r="410" ht="1.5" customHeight="1">
      <c r="A410" s="155"/>
      <c r="B410" s="156"/>
      <c r="C410" s="157"/>
      <c r="D410" s="158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60"/>
    </row>
    <row r="411" ht="1.5" customHeight="1">
      <c r="A411" s="161"/>
      <c r="B411" s="162"/>
      <c r="C411" s="163"/>
      <c r="D411" s="164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6"/>
    </row>
    <row r="412" ht="1.5" customHeight="1">
      <c r="A412" s="155"/>
      <c r="B412" s="156"/>
      <c r="C412" s="157"/>
      <c r="D412" s="158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60"/>
    </row>
    <row r="413" ht="1.5" customHeight="1">
      <c r="A413" s="161"/>
      <c r="B413" s="162"/>
      <c r="C413" s="163"/>
      <c r="D413" s="164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6"/>
    </row>
    <row r="414" ht="1.5" customHeight="1">
      <c r="A414" s="155"/>
      <c r="B414" s="156"/>
      <c r="C414" s="157"/>
      <c r="D414" s="158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60"/>
    </row>
    <row r="415" ht="1.5" customHeight="1">
      <c r="A415" s="161"/>
      <c r="B415" s="162"/>
      <c r="C415" s="163"/>
      <c r="D415" s="164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6"/>
    </row>
    <row r="416" ht="1.5" customHeight="1">
      <c r="A416" s="155"/>
      <c r="B416" s="156"/>
      <c r="C416" s="157"/>
      <c r="D416" s="158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60"/>
    </row>
    <row r="417" ht="1.5" customHeight="1">
      <c r="A417" s="161"/>
      <c r="B417" s="162"/>
      <c r="C417" s="163"/>
      <c r="D417" s="164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6"/>
    </row>
    <row r="418" ht="1.5" customHeight="1">
      <c r="A418" s="155"/>
      <c r="B418" s="156"/>
      <c r="C418" s="157"/>
      <c r="D418" s="158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60"/>
    </row>
    <row r="419" ht="1.5" customHeight="1">
      <c r="A419" s="161"/>
      <c r="B419" s="162"/>
      <c r="C419" s="163"/>
      <c r="D419" s="164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6"/>
    </row>
    <row r="420" ht="1.5" customHeight="1">
      <c r="A420" s="155"/>
      <c r="B420" s="156"/>
      <c r="C420" s="157"/>
      <c r="D420" s="158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60"/>
    </row>
    <row r="421" ht="1.5" customHeight="1">
      <c r="A421" s="161"/>
      <c r="B421" s="162"/>
      <c r="C421" s="163"/>
      <c r="D421" s="164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6"/>
    </row>
    <row r="422" ht="1.5" customHeight="1">
      <c r="A422" s="155"/>
      <c r="B422" s="156"/>
      <c r="C422" s="157"/>
      <c r="D422" s="158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60"/>
    </row>
    <row r="423" ht="1.5" customHeight="1">
      <c r="A423" s="161"/>
      <c r="B423" s="162"/>
      <c r="C423" s="163"/>
      <c r="D423" s="164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6"/>
    </row>
    <row r="424" ht="1.5" customHeight="1">
      <c r="A424" s="155"/>
      <c r="B424" s="156"/>
      <c r="C424" s="157"/>
      <c r="D424" s="158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60"/>
    </row>
    <row r="425" ht="1.5" customHeight="1">
      <c r="A425" s="161"/>
      <c r="B425" s="162"/>
      <c r="C425" s="163"/>
      <c r="D425" s="164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6"/>
    </row>
    <row r="426" ht="1.5" customHeight="1">
      <c r="A426" s="155"/>
      <c r="B426" s="156"/>
      <c r="C426" s="157"/>
      <c r="D426" s="158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60"/>
    </row>
    <row r="427" ht="1.5" customHeight="1">
      <c r="A427" s="161"/>
      <c r="B427" s="162"/>
      <c r="C427" s="163"/>
      <c r="D427" s="164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6"/>
    </row>
    <row r="428" ht="1.5" customHeight="1">
      <c r="A428" s="155"/>
      <c r="B428" s="156"/>
      <c r="C428" s="157"/>
      <c r="D428" s="158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60"/>
    </row>
    <row r="429" ht="1.5" customHeight="1">
      <c r="A429" s="161"/>
      <c r="B429" s="162"/>
      <c r="C429" s="163"/>
      <c r="D429" s="164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6"/>
    </row>
    <row r="430" ht="1.5" customHeight="1">
      <c r="A430" s="155"/>
      <c r="B430" s="156"/>
      <c r="C430" s="157"/>
      <c r="D430" s="158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60"/>
    </row>
    <row r="431" ht="1.5" customHeight="1">
      <c r="A431" s="161"/>
      <c r="B431" s="162"/>
      <c r="C431" s="163"/>
      <c r="D431" s="164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6"/>
    </row>
    <row r="432" ht="1.5" customHeight="1">
      <c r="A432" s="155"/>
      <c r="B432" s="156"/>
      <c r="C432" s="157"/>
      <c r="D432" s="158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60"/>
    </row>
    <row r="433" ht="1.5" customHeight="1">
      <c r="A433" s="161"/>
      <c r="B433" s="162"/>
      <c r="C433" s="163"/>
      <c r="D433" s="164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6"/>
    </row>
    <row r="434" ht="1.5" customHeight="1">
      <c r="A434" s="155"/>
      <c r="B434" s="156"/>
      <c r="C434" s="157"/>
      <c r="D434" s="158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60"/>
    </row>
    <row r="435" ht="1.5" customHeight="1">
      <c r="A435" s="161"/>
      <c r="B435" s="162"/>
      <c r="C435" s="163"/>
      <c r="D435" s="164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6"/>
    </row>
    <row r="436" ht="1.5" customHeight="1">
      <c r="A436" s="155"/>
      <c r="B436" s="156"/>
      <c r="C436" s="157"/>
      <c r="D436" s="158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60"/>
    </row>
    <row r="437" ht="1.5" customHeight="1">
      <c r="A437" s="161"/>
      <c r="B437" s="162"/>
      <c r="C437" s="163"/>
      <c r="D437" s="164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6"/>
    </row>
    <row r="438" ht="1.5" customHeight="1">
      <c r="A438" s="155"/>
      <c r="B438" s="156"/>
      <c r="C438" s="157"/>
      <c r="D438" s="158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60"/>
    </row>
    <row r="439" ht="1.5" customHeight="1">
      <c r="A439" s="161"/>
      <c r="B439" s="162"/>
      <c r="C439" s="163"/>
      <c r="D439" s="164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6"/>
    </row>
    <row r="440" ht="1.5" customHeight="1">
      <c r="A440" s="155"/>
      <c r="B440" s="156"/>
      <c r="C440" s="157"/>
      <c r="D440" s="158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60"/>
    </row>
    <row r="441" ht="1.5" customHeight="1">
      <c r="A441" s="161"/>
      <c r="B441" s="162"/>
      <c r="C441" s="163"/>
      <c r="D441" s="164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6"/>
    </row>
    <row r="442" ht="1.5" customHeight="1">
      <c r="A442" s="155"/>
      <c r="B442" s="156"/>
      <c r="C442" s="157"/>
      <c r="D442" s="158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60"/>
    </row>
    <row r="443" ht="1.5" customHeight="1">
      <c r="A443" s="161"/>
      <c r="B443" s="162"/>
      <c r="C443" s="163"/>
      <c r="D443" s="164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6"/>
    </row>
    <row r="444" ht="1.5" customHeight="1">
      <c r="A444" s="155"/>
      <c r="B444" s="156"/>
      <c r="C444" s="157"/>
      <c r="D444" s="158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60"/>
    </row>
    <row r="445" ht="1.5" customHeight="1">
      <c r="A445" s="161"/>
      <c r="B445" s="162"/>
      <c r="C445" s="163"/>
      <c r="D445" s="164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6"/>
    </row>
    <row r="446" ht="1.5" customHeight="1">
      <c r="A446" s="155"/>
      <c r="B446" s="156"/>
      <c r="C446" s="157"/>
      <c r="D446" s="158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60"/>
    </row>
    <row r="447" ht="1.5" customHeight="1">
      <c r="A447" s="161"/>
      <c r="B447" s="162"/>
      <c r="C447" s="163"/>
      <c r="D447" s="164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6"/>
    </row>
    <row r="448" ht="1.5" customHeight="1">
      <c r="A448" s="155"/>
      <c r="B448" s="156"/>
      <c r="C448" s="157"/>
      <c r="D448" s="158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60"/>
    </row>
    <row r="449" ht="1.5" customHeight="1">
      <c r="A449" s="161"/>
      <c r="B449" s="162"/>
      <c r="C449" s="163"/>
      <c r="D449" s="164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6"/>
    </row>
    <row r="450" ht="1.5" customHeight="1">
      <c r="A450" s="155"/>
      <c r="B450" s="156"/>
      <c r="C450" s="157"/>
      <c r="D450" s="158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60"/>
    </row>
    <row r="451" ht="1.5" customHeight="1">
      <c r="A451" s="161"/>
      <c r="B451" s="162"/>
      <c r="C451" s="163"/>
      <c r="D451" s="164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6"/>
    </row>
    <row r="452" ht="1.5" customHeight="1">
      <c r="A452" s="155"/>
      <c r="B452" s="156"/>
      <c r="C452" s="157"/>
      <c r="D452" s="158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60"/>
    </row>
    <row r="453" ht="1.5" customHeight="1">
      <c r="A453" s="161"/>
      <c r="B453" s="162"/>
      <c r="C453" s="163"/>
      <c r="D453" s="164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6"/>
    </row>
    <row r="454" ht="1.5" customHeight="1">
      <c r="A454" s="155"/>
      <c r="B454" s="156"/>
      <c r="C454" s="157"/>
      <c r="D454" s="158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60"/>
    </row>
    <row r="455" ht="1.5" customHeight="1">
      <c r="A455" s="161"/>
      <c r="B455" s="162"/>
      <c r="C455" s="163"/>
      <c r="D455" s="164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6"/>
    </row>
    <row r="456" ht="1.5" customHeight="1">
      <c r="A456" s="155"/>
      <c r="B456" s="156"/>
      <c r="C456" s="157"/>
      <c r="D456" s="158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60"/>
    </row>
    <row r="457" ht="1.5" customHeight="1">
      <c r="A457" s="161"/>
      <c r="B457" s="162"/>
      <c r="C457" s="163"/>
      <c r="D457" s="164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6"/>
    </row>
    <row r="458" ht="1.5" customHeight="1">
      <c r="A458" s="155"/>
      <c r="B458" s="156"/>
      <c r="C458" s="157"/>
      <c r="D458" s="158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60"/>
    </row>
    <row r="459" ht="1.5" customHeight="1">
      <c r="A459" s="161"/>
      <c r="B459" s="162"/>
      <c r="C459" s="163"/>
      <c r="D459" s="164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6"/>
    </row>
    <row r="460" ht="1.5" customHeight="1">
      <c r="A460" s="155"/>
      <c r="B460" s="156"/>
      <c r="C460" s="157"/>
      <c r="D460" s="158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60"/>
    </row>
    <row r="461" ht="1.5" customHeight="1">
      <c r="A461" s="161"/>
      <c r="B461" s="162"/>
      <c r="C461" s="163"/>
      <c r="D461" s="164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6"/>
    </row>
    <row r="462" ht="1.5" customHeight="1">
      <c r="A462" s="155"/>
      <c r="B462" s="156"/>
      <c r="C462" s="157"/>
      <c r="D462" s="158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60"/>
    </row>
    <row r="463" ht="1.5" customHeight="1">
      <c r="A463" s="161"/>
      <c r="B463" s="162"/>
      <c r="C463" s="163"/>
      <c r="D463" s="164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6"/>
    </row>
    <row r="464" ht="1.5" customHeight="1">
      <c r="A464" s="155"/>
      <c r="B464" s="156"/>
      <c r="C464" s="157"/>
      <c r="D464" s="158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60"/>
    </row>
    <row r="465" ht="1.5" customHeight="1">
      <c r="A465" s="161"/>
      <c r="B465" s="162"/>
      <c r="C465" s="163"/>
      <c r="D465" s="164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6"/>
    </row>
    <row r="466" ht="1.5" customHeight="1">
      <c r="A466" s="155"/>
      <c r="B466" s="156"/>
      <c r="C466" s="157"/>
      <c r="D466" s="158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60"/>
    </row>
    <row r="467" ht="1.5" customHeight="1">
      <c r="A467" s="161"/>
      <c r="B467" s="162"/>
      <c r="C467" s="163"/>
      <c r="D467" s="164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6"/>
    </row>
    <row r="468" ht="1.5" customHeight="1">
      <c r="A468" s="155"/>
      <c r="B468" s="156"/>
      <c r="C468" s="157"/>
      <c r="D468" s="158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60"/>
    </row>
    <row r="469" ht="1.5" customHeight="1">
      <c r="A469" s="161"/>
      <c r="B469" s="162"/>
      <c r="C469" s="163"/>
      <c r="D469" s="164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6"/>
    </row>
    <row r="470" ht="1.5" customHeight="1">
      <c r="A470" s="155"/>
      <c r="B470" s="156"/>
      <c r="C470" s="157"/>
      <c r="D470" s="158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60"/>
    </row>
    <row r="471" ht="1.5" customHeight="1">
      <c r="A471" s="161"/>
      <c r="B471" s="162"/>
      <c r="C471" s="163"/>
      <c r="D471" s="164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6"/>
    </row>
    <row r="472" ht="1.5" customHeight="1">
      <c r="A472" s="155"/>
      <c r="B472" s="156"/>
      <c r="C472" s="157"/>
      <c r="D472" s="158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60"/>
    </row>
    <row r="473" ht="1.5" customHeight="1">
      <c r="A473" s="161"/>
      <c r="B473" s="162"/>
      <c r="C473" s="163"/>
      <c r="D473" s="164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6"/>
    </row>
    <row r="474" ht="1.5" customHeight="1">
      <c r="A474" s="155"/>
      <c r="B474" s="156"/>
      <c r="C474" s="157"/>
      <c r="D474" s="158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60"/>
    </row>
    <row r="475" ht="1.5" customHeight="1">
      <c r="A475" s="161"/>
      <c r="B475" s="162"/>
      <c r="C475" s="163"/>
      <c r="D475" s="164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6"/>
    </row>
    <row r="476" ht="1.5" customHeight="1">
      <c r="A476" s="155"/>
      <c r="B476" s="156"/>
      <c r="C476" s="157"/>
      <c r="D476" s="158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60"/>
    </row>
    <row r="477" ht="1.5" customHeight="1">
      <c r="A477" s="161"/>
      <c r="B477" s="162"/>
      <c r="C477" s="163"/>
      <c r="D477" s="164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6"/>
    </row>
    <row r="478" ht="1.5" customHeight="1">
      <c r="A478" s="155"/>
      <c r="B478" s="156"/>
      <c r="C478" s="157"/>
      <c r="D478" s="158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60"/>
    </row>
    <row r="479" ht="1.5" customHeight="1">
      <c r="A479" s="161"/>
      <c r="B479" s="162"/>
      <c r="C479" s="163"/>
      <c r="D479" s="164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6"/>
    </row>
    <row r="480" ht="1.5" customHeight="1">
      <c r="A480" s="155"/>
      <c r="B480" s="156"/>
      <c r="C480" s="157"/>
      <c r="D480" s="158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60"/>
    </row>
    <row r="481" ht="1.5" customHeight="1">
      <c r="A481" s="161"/>
      <c r="B481" s="162"/>
      <c r="C481" s="163"/>
      <c r="D481" s="164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6"/>
    </row>
    <row r="482" ht="1.5" customHeight="1">
      <c r="A482" s="155"/>
      <c r="B482" s="156"/>
      <c r="C482" s="157"/>
      <c r="D482" s="158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60"/>
    </row>
    <row r="483" ht="1.5" customHeight="1">
      <c r="A483" s="161"/>
      <c r="B483" s="162"/>
      <c r="C483" s="163"/>
      <c r="D483" s="164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6"/>
    </row>
    <row r="484" ht="1.5" customHeight="1">
      <c r="A484" s="155"/>
      <c r="B484" s="156"/>
      <c r="C484" s="157"/>
      <c r="D484" s="158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60"/>
    </row>
    <row r="485" ht="1.5" customHeight="1">
      <c r="A485" s="161"/>
      <c r="B485" s="162"/>
      <c r="C485" s="163"/>
      <c r="D485" s="164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6"/>
    </row>
    <row r="486" ht="1.5" customHeight="1">
      <c r="A486" s="155"/>
      <c r="B486" s="156"/>
      <c r="C486" s="157"/>
      <c r="D486" s="158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60"/>
    </row>
    <row r="487" ht="1.5" customHeight="1">
      <c r="A487" s="161"/>
      <c r="B487" s="162"/>
      <c r="C487" s="163"/>
      <c r="D487" s="164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6"/>
    </row>
    <row r="488" ht="1.5" customHeight="1">
      <c r="A488" s="155"/>
      <c r="B488" s="156"/>
      <c r="C488" s="157"/>
      <c r="D488" s="158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60"/>
    </row>
    <row r="489" ht="1.5" customHeight="1">
      <c r="A489" s="161"/>
      <c r="B489" s="162"/>
      <c r="C489" s="163"/>
      <c r="D489" s="164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6"/>
    </row>
    <row r="490" ht="1.5" customHeight="1">
      <c r="A490" s="155"/>
      <c r="B490" s="156"/>
      <c r="C490" s="157"/>
      <c r="D490" s="158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60"/>
    </row>
    <row r="491" ht="1.5" customHeight="1">
      <c r="A491" s="161"/>
      <c r="B491" s="162"/>
      <c r="C491" s="163"/>
      <c r="D491" s="164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6"/>
    </row>
    <row r="492" ht="1.5" customHeight="1">
      <c r="A492" s="155"/>
      <c r="B492" s="156"/>
      <c r="C492" s="157"/>
      <c r="D492" s="158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60"/>
    </row>
    <row r="493" ht="1.5" customHeight="1">
      <c r="A493" s="161"/>
      <c r="B493" s="162"/>
      <c r="C493" s="163"/>
      <c r="D493" s="164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6"/>
    </row>
    <row r="494" ht="1.5" customHeight="1">
      <c r="A494" s="155"/>
      <c r="B494" s="156"/>
      <c r="C494" s="157"/>
      <c r="D494" s="158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60"/>
    </row>
    <row r="495" ht="1.5" customHeight="1">
      <c r="A495" s="161"/>
      <c r="B495" s="162"/>
      <c r="C495" s="163"/>
      <c r="D495" s="164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6"/>
    </row>
    <row r="496" ht="1.5" customHeight="1">
      <c r="A496" s="155"/>
      <c r="B496" s="156"/>
      <c r="C496" s="157"/>
      <c r="D496" s="158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60"/>
    </row>
    <row r="497" ht="1.5" customHeight="1">
      <c r="A497" s="161"/>
      <c r="B497" s="162"/>
      <c r="C497" s="163"/>
      <c r="D497" s="164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6"/>
    </row>
    <row r="498" ht="1.5" customHeight="1">
      <c r="A498" s="155"/>
      <c r="B498" s="156"/>
      <c r="C498" s="157"/>
      <c r="D498" s="158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60"/>
    </row>
    <row r="499" ht="1.5" customHeight="1">
      <c r="A499" s="161"/>
      <c r="B499" s="162"/>
      <c r="C499" s="163"/>
      <c r="D499" s="164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6"/>
    </row>
    <row r="500" ht="1.5" customHeight="1">
      <c r="A500" s="155"/>
      <c r="B500" s="156"/>
      <c r="C500" s="157"/>
      <c r="D500" s="158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60"/>
    </row>
    <row r="501" ht="1.5" customHeight="1">
      <c r="A501" s="161"/>
      <c r="B501" s="162"/>
      <c r="C501" s="163"/>
      <c r="D501" s="164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6"/>
    </row>
    <row r="502" ht="1.5" customHeight="1">
      <c r="A502" s="155"/>
      <c r="B502" s="156"/>
      <c r="C502" s="157"/>
      <c r="D502" s="158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60"/>
    </row>
    <row r="503" ht="1.5" customHeight="1">
      <c r="A503" s="161"/>
      <c r="B503" s="162"/>
      <c r="C503" s="163"/>
      <c r="D503" s="164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6"/>
    </row>
    <row r="504" ht="1.5" customHeight="1">
      <c r="A504" s="155"/>
      <c r="B504" s="156"/>
      <c r="C504" s="157"/>
      <c r="D504" s="158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60"/>
    </row>
    <row r="505" ht="1.5" customHeight="1">
      <c r="A505" s="161"/>
      <c r="B505" s="162"/>
      <c r="C505" s="163"/>
      <c r="D505" s="164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6"/>
    </row>
    <row r="506" ht="1.5" customHeight="1">
      <c r="A506" s="155"/>
      <c r="B506" s="156"/>
      <c r="C506" s="157"/>
      <c r="D506" s="158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60"/>
    </row>
    <row r="507" ht="1.5" customHeight="1">
      <c r="A507" s="161"/>
      <c r="B507" s="162"/>
      <c r="C507" s="163"/>
      <c r="D507" s="164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6"/>
    </row>
    <row r="508" ht="1.5" customHeight="1">
      <c r="A508" s="155"/>
      <c r="B508" s="156"/>
      <c r="C508" s="157"/>
      <c r="D508" s="158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60"/>
    </row>
    <row r="509" ht="1.5" customHeight="1">
      <c r="A509" s="161"/>
      <c r="B509" s="162"/>
      <c r="C509" s="163"/>
      <c r="D509" s="164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6"/>
    </row>
    <row r="510" ht="1.5" customHeight="1">
      <c r="A510" s="155"/>
      <c r="B510" s="156"/>
      <c r="C510" s="157"/>
      <c r="D510" s="158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60"/>
    </row>
    <row r="511" ht="1.5" customHeight="1">
      <c r="A511" s="161"/>
      <c r="B511" s="162"/>
      <c r="C511" s="163"/>
      <c r="D511" s="164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6"/>
    </row>
    <row r="512" ht="1.5" customHeight="1">
      <c r="A512" s="155"/>
      <c r="B512" s="156"/>
      <c r="C512" s="157"/>
      <c r="D512" s="158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60"/>
    </row>
    <row r="513" ht="1.5" customHeight="1">
      <c r="A513" s="161"/>
      <c r="B513" s="162"/>
      <c r="C513" s="163"/>
      <c r="D513" s="164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6"/>
    </row>
    <row r="514" ht="1.5" customHeight="1">
      <c r="A514" s="155"/>
      <c r="B514" s="156"/>
      <c r="C514" s="157"/>
      <c r="D514" s="158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60"/>
    </row>
    <row r="515" ht="1.5" customHeight="1">
      <c r="A515" s="161"/>
      <c r="B515" s="162"/>
      <c r="C515" s="163"/>
      <c r="D515" s="164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6"/>
    </row>
    <row r="516" ht="1.5" customHeight="1">
      <c r="A516" s="155"/>
      <c r="B516" s="156"/>
      <c r="C516" s="157"/>
      <c r="D516" s="158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60"/>
    </row>
    <row r="517" ht="1.5" customHeight="1">
      <c r="A517" s="161"/>
      <c r="B517" s="162"/>
      <c r="C517" s="163"/>
      <c r="D517" s="164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6"/>
    </row>
    <row r="518" ht="1.5" customHeight="1">
      <c r="A518" s="155"/>
      <c r="B518" s="156"/>
      <c r="C518" s="157"/>
      <c r="D518" s="158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60"/>
    </row>
    <row r="519" ht="1.5" customHeight="1">
      <c r="A519" s="161"/>
      <c r="B519" s="162"/>
      <c r="C519" s="163"/>
      <c r="D519" s="164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6"/>
    </row>
    <row r="520" ht="1.5" customHeight="1">
      <c r="A520" s="155"/>
      <c r="B520" s="156"/>
      <c r="C520" s="157"/>
      <c r="D520" s="158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60"/>
    </row>
    <row r="521" ht="1.5" customHeight="1">
      <c r="A521" s="161"/>
      <c r="B521" s="162"/>
      <c r="C521" s="163"/>
      <c r="D521" s="164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6"/>
    </row>
    <row r="522" ht="1.5" customHeight="1">
      <c r="A522" s="155"/>
      <c r="B522" s="156"/>
      <c r="C522" s="157"/>
      <c r="D522" s="158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60"/>
    </row>
    <row r="523" ht="1.5" customHeight="1">
      <c r="A523" s="161"/>
      <c r="B523" s="162"/>
      <c r="C523" s="163"/>
      <c r="D523" s="164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6"/>
    </row>
    <row r="524" ht="1.5" customHeight="1">
      <c r="A524" s="155"/>
      <c r="B524" s="156"/>
      <c r="C524" s="157"/>
      <c r="D524" s="158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60"/>
    </row>
    <row r="525" ht="1.5" customHeight="1">
      <c r="A525" s="161"/>
      <c r="B525" s="162"/>
      <c r="C525" s="163"/>
      <c r="D525" s="164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6"/>
    </row>
    <row r="526" ht="1.5" customHeight="1">
      <c r="A526" s="155"/>
      <c r="B526" s="156"/>
      <c r="C526" s="157"/>
      <c r="D526" s="158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60"/>
    </row>
    <row r="527" ht="1.5" customHeight="1">
      <c r="A527" s="161"/>
      <c r="B527" s="162"/>
      <c r="C527" s="163"/>
      <c r="D527" s="164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6"/>
    </row>
    <row r="528" ht="1.5" customHeight="1">
      <c r="A528" s="155"/>
      <c r="B528" s="156"/>
      <c r="C528" s="157"/>
      <c r="D528" s="158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60"/>
    </row>
    <row r="529" ht="1.5" customHeight="1">
      <c r="A529" s="161"/>
      <c r="B529" s="162"/>
      <c r="C529" s="163"/>
      <c r="D529" s="164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6"/>
    </row>
    <row r="530" ht="1.5" customHeight="1">
      <c r="A530" s="155"/>
      <c r="B530" s="156"/>
      <c r="C530" s="157"/>
      <c r="D530" s="158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60"/>
    </row>
    <row r="531" ht="1.5" customHeight="1">
      <c r="A531" s="161"/>
      <c r="B531" s="162"/>
      <c r="C531" s="163"/>
      <c r="D531" s="164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6"/>
    </row>
    <row r="532" ht="1.5" customHeight="1">
      <c r="A532" s="155"/>
      <c r="B532" s="156"/>
      <c r="C532" s="157"/>
      <c r="D532" s="158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60"/>
    </row>
    <row r="533" ht="1.5" customHeight="1">
      <c r="A533" s="161"/>
      <c r="B533" s="162"/>
      <c r="C533" s="163"/>
      <c r="D533" s="164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6"/>
    </row>
    <row r="534" ht="1.5" customHeight="1">
      <c r="A534" s="155"/>
      <c r="B534" s="156"/>
      <c r="C534" s="157"/>
      <c r="D534" s="158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60"/>
    </row>
    <row r="535" ht="1.5" customHeight="1">
      <c r="A535" s="161"/>
      <c r="B535" s="162"/>
      <c r="C535" s="163"/>
      <c r="D535" s="164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6"/>
    </row>
    <row r="536" ht="1.5" customHeight="1">
      <c r="A536" s="155"/>
      <c r="B536" s="156"/>
      <c r="C536" s="157"/>
      <c r="D536" s="158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60"/>
    </row>
    <row r="537" ht="1.5" customHeight="1">
      <c r="A537" s="161"/>
      <c r="B537" s="162"/>
      <c r="C537" s="163"/>
      <c r="D537" s="164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6"/>
    </row>
    <row r="538" ht="1.5" customHeight="1">
      <c r="A538" s="155"/>
      <c r="B538" s="156"/>
      <c r="C538" s="157"/>
      <c r="D538" s="158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60"/>
    </row>
    <row r="539" ht="1.5" customHeight="1">
      <c r="A539" s="161"/>
      <c r="B539" s="162"/>
      <c r="C539" s="163"/>
      <c r="D539" s="164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6"/>
    </row>
    <row r="540" ht="1.5" customHeight="1">
      <c r="A540" s="155"/>
      <c r="B540" s="156"/>
      <c r="C540" s="157"/>
      <c r="D540" s="158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60"/>
    </row>
    <row r="541" ht="1.5" customHeight="1">
      <c r="A541" s="161"/>
      <c r="B541" s="162"/>
      <c r="C541" s="163"/>
      <c r="D541" s="164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6"/>
    </row>
    <row r="542" ht="1.5" customHeight="1">
      <c r="A542" s="155"/>
      <c r="B542" s="156"/>
      <c r="C542" s="157"/>
      <c r="D542" s="158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60"/>
    </row>
    <row r="543" ht="1.5" customHeight="1">
      <c r="A543" s="161"/>
      <c r="B543" s="162"/>
      <c r="C543" s="163"/>
      <c r="D543" s="164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6"/>
    </row>
    <row r="544" ht="1.5" customHeight="1">
      <c r="A544" s="155"/>
      <c r="B544" s="156"/>
      <c r="C544" s="157"/>
      <c r="D544" s="158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60"/>
    </row>
    <row r="545" ht="1.5" customHeight="1">
      <c r="A545" s="161"/>
      <c r="B545" s="162"/>
      <c r="C545" s="163"/>
      <c r="D545" s="164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6"/>
    </row>
    <row r="546" ht="1.5" customHeight="1">
      <c r="A546" s="155"/>
      <c r="B546" s="156"/>
      <c r="C546" s="157"/>
      <c r="D546" s="158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60"/>
    </row>
    <row r="547" ht="1.5" customHeight="1">
      <c r="A547" s="161"/>
      <c r="B547" s="162"/>
      <c r="C547" s="163"/>
      <c r="D547" s="164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6"/>
    </row>
    <row r="548" ht="1.5" customHeight="1">
      <c r="A548" s="155"/>
      <c r="B548" s="156"/>
      <c r="C548" s="157"/>
      <c r="D548" s="158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60"/>
    </row>
    <row r="549" ht="1.5" customHeight="1">
      <c r="A549" s="161"/>
      <c r="B549" s="162"/>
      <c r="C549" s="163"/>
      <c r="D549" s="164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6"/>
    </row>
    <row r="550" ht="1.5" customHeight="1">
      <c r="A550" s="155"/>
      <c r="B550" s="156"/>
      <c r="C550" s="157"/>
      <c r="D550" s="158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60"/>
    </row>
    <row r="551" ht="1.5" customHeight="1">
      <c r="A551" s="161"/>
      <c r="B551" s="162"/>
      <c r="C551" s="163"/>
      <c r="D551" s="164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6"/>
    </row>
    <row r="552" ht="1.5" customHeight="1">
      <c r="A552" s="155"/>
      <c r="B552" s="156"/>
      <c r="C552" s="157"/>
      <c r="D552" s="158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60"/>
    </row>
    <row r="553" ht="1.5" customHeight="1">
      <c r="A553" s="161"/>
      <c r="B553" s="162"/>
      <c r="C553" s="163"/>
      <c r="D553" s="164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6"/>
    </row>
    <row r="554" ht="1.5" customHeight="1">
      <c r="A554" s="155"/>
      <c r="B554" s="156"/>
      <c r="C554" s="157"/>
      <c r="D554" s="158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60"/>
    </row>
    <row r="555" ht="1.5" customHeight="1">
      <c r="A555" s="161"/>
      <c r="B555" s="162"/>
      <c r="C555" s="163"/>
      <c r="D555" s="164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6"/>
    </row>
    <row r="556" ht="1.5" customHeight="1">
      <c r="A556" s="155"/>
      <c r="B556" s="156"/>
      <c r="C556" s="157"/>
      <c r="D556" s="158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60"/>
    </row>
    <row r="557" ht="1.5" customHeight="1">
      <c r="A557" s="161"/>
      <c r="B557" s="162"/>
      <c r="C557" s="163"/>
      <c r="D557" s="164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6"/>
    </row>
    <row r="558" ht="1.5" customHeight="1">
      <c r="A558" s="155"/>
      <c r="B558" s="156"/>
      <c r="C558" s="157"/>
      <c r="D558" s="158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60"/>
    </row>
    <row r="559" ht="1.5" customHeight="1">
      <c r="A559" s="161"/>
      <c r="B559" s="162"/>
      <c r="C559" s="163"/>
      <c r="D559" s="164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6"/>
    </row>
    <row r="560" ht="1.5" customHeight="1">
      <c r="A560" s="155"/>
      <c r="B560" s="156"/>
      <c r="C560" s="157"/>
      <c r="D560" s="158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60"/>
    </row>
    <row r="561" ht="1.5" customHeight="1">
      <c r="A561" s="161"/>
      <c r="B561" s="162"/>
      <c r="C561" s="163"/>
      <c r="D561" s="164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6"/>
    </row>
    <row r="562" ht="1.5" customHeight="1">
      <c r="A562" s="155"/>
      <c r="B562" s="156"/>
      <c r="C562" s="157"/>
      <c r="D562" s="158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60"/>
    </row>
    <row r="563" ht="1.5" customHeight="1">
      <c r="A563" s="161"/>
      <c r="B563" s="162"/>
      <c r="C563" s="163"/>
      <c r="D563" s="164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6"/>
    </row>
    <row r="564" ht="1.5" customHeight="1">
      <c r="A564" s="155"/>
      <c r="B564" s="156"/>
      <c r="C564" s="157"/>
      <c r="D564" s="158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60"/>
    </row>
    <row r="565" ht="1.5" customHeight="1">
      <c r="A565" s="161"/>
      <c r="B565" s="162"/>
      <c r="C565" s="163"/>
      <c r="D565" s="164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6"/>
    </row>
    <row r="566" ht="1.5" customHeight="1">
      <c r="A566" s="155"/>
      <c r="B566" s="156"/>
      <c r="C566" s="157"/>
      <c r="D566" s="158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60"/>
    </row>
    <row r="567" ht="1.5" customHeight="1">
      <c r="A567" s="161"/>
      <c r="B567" s="162"/>
      <c r="C567" s="163"/>
      <c r="D567" s="164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6"/>
    </row>
    <row r="568" ht="1.5" customHeight="1">
      <c r="A568" s="155"/>
      <c r="B568" s="156"/>
      <c r="C568" s="157"/>
      <c r="D568" s="158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60"/>
    </row>
    <row r="569" ht="1.5" customHeight="1">
      <c r="A569" s="161"/>
      <c r="B569" s="162"/>
      <c r="C569" s="163"/>
      <c r="D569" s="164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6"/>
    </row>
    <row r="570" ht="1.5" customHeight="1">
      <c r="A570" s="155"/>
      <c r="B570" s="156"/>
      <c r="C570" s="157"/>
      <c r="D570" s="158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60"/>
    </row>
    <row r="571" ht="1.5" customHeight="1">
      <c r="A571" s="161"/>
      <c r="B571" s="162"/>
      <c r="C571" s="163"/>
      <c r="D571" s="164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6"/>
    </row>
    <row r="572" ht="1.5" customHeight="1">
      <c r="A572" s="155"/>
      <c r="B572" s="156"/>
      <c r="C572" s="157"/>
      <c r="D572" s="158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60"/>
    </row>
    <row r="573" ht="1.5" customHeight="1">
      <c r="A573" s="161"/>
      <c r="B573" s="162"/>
      <c r="C573" s="163"/>
      <c r="D573" s="164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6"/>
    </row>
    <row r="574" ht="1.5" customHeight="1">
      <c r="A574" s="155"/>
      <c r="B574" s="156"/>
      <c r="C574" s="157"/>
      <c r="D574" s="158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60"/>
    </row>
    <row r="575" ht="1.5" customHeight="1">
      <c r="A575" s="161"/>
      <c r="B575" s="162"/>
      <c r="C575" s="163"/>
      <c r="D575" s="164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6"/>
    </row>
    <row r="576" ht="1.5" customHeight="1">
      <c r="A576" s="155"/>
      <c r="B576" s="156"/>
      <c r="C576" s="157"/>
      <c r="D576" s="158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60"/>
    </row>
    <row r="577" ht="1.5" customHeight="1">
      <c r="A577" s="161"/>
      <c r="B577" s="162"/>
      <c r="C577" s="163"/>
      <c r="D577" s="164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6"/>
    </row>
    <row r="578" ht="1.5" customHeight="1">
      <c r="A578" s="155"/>
      <c r="B578" s="156"/>
      <c r="C578" s="157"/>
      <c r="D578" s="158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60"/>
    </row>
    <row r="579" ht="1.5" customHeight="1">
      <c r="A579" s="161"/>
      <c r="B579" s="162"/>
      <c r="C579" s="163"/>
      <c r="D579" s="164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6"/>
    </row>
    <row r="580" ht="1.5" customHeight="1">
      <c r="A580" s="155"/>
      <c r="B580" s="156"/>
      <c r="C580" s="157"/>
      <c r="D580" s="158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60"/>
    </row>
    <row r="581" ht="1.5" customHeight="1">
      <c r="A581" s="161"/>
      <c r="B581" s="162"/>
      <c r="C581" s="163"/>
      <c r="D581" s="164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6"/>
    </row>
    <row r="582" ht="1.5" customHeight="1">
      <c r="A582" s="155"/>
      <c r="B582" s="156"/>
      <c r="C582" s="157"/>
      <c r="D582" s="158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60"/>
    </row>
    <row r="583" ht="1.5" customHeight="1">
      <c r="A583" s="161"/>
      <c r="B583" s="162"/>
      <c r="C583" s="163"/>
      <c r="D583" s="164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6"/>
    </row>
    <row r="584" ht="1.5" customHeight="1">
      <c r="A584" s="155"/>
      <c r="B584" s="156"/>
      <c r="C584" s="157"/>
      <c r="D584" s="158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60"/>
    </row>
    <row r="585" ht="1.5" customHeight="1">
      <c r="A585" s="161"/>
      <c r="B585" s="162"/>
      <c r="C585" s="163"/>
      <c r="D585" s="164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6"/>
    </row>
    <row r="586" ht="1.5" customHeight="1">
      <c r="A586" s="155"/>
      <c r="B586" s="156"/>
      <c r="C586" s="157"/>
      <c r="D586" s="158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60"/>
    </row>
    <row r="587" ht="1.5" customHeight="1">
      <c r="A587" s="161"/>
      <c r="B587" s="162"/>
      <c r="C587" s="163"/>
      <c r="D587" s="164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6"/>
    </row>
    <row r="588" ht="1.5" customHeight="1">
      <c r="A588" s="155"/>
      <c r="B588" s="156"/>
      <c r="C588" s="157"/>
      <c r="D588" s="158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60"/>
    </row>
    <row r="589" ht="1.5" customHeight="1">
      <c r="A589" s="161"/>
      <c r="B589" s="162"/>
      <c r="C589" s="163"/>
      <c r="D589" s="164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6"/>
    </row>
    <row r="590" ht="1.5" customHeight="1">
      <c r="A590" s="155"/>
      <c r="B590" s="156"/>
      <c r="C590" s="157"/>
      <c r="D590" s="158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60"/>
    </row>
    <row r="591" ht="1.5" customHeight="1">
      <c r="A591" s="161"/>
      <c r="B591" s="162"/>
      <c r="C591" s="163"/>
      <c r="D591" s="164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6"/>
    </row>
    <row r="592" ht="1.5" customHeight="1">
      <c r="A592" s="155"/>
      <c r="B592" s="156"/>
      <c r="C592" s="157"/>
      <c r="D592" s="158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60"/>
    </row>
    <row r="593" ht="1.5" customHeight="1">
      <c r="A593" s="161"/>
      <c r="B593" s="162"/>
      <c r="C593" s="163"/>
      <c r="D593" s="164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6"/>
    </row>
    <row r="594" ht="1.5" customHeight="1">
      <c r="A594" s="155"/>
      <c r="B594" s="156"/>
      <c r="C594" s="157"/>
      <c r="D594" s="158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60"/>
    </row>
    <row r="595" ht="1.5" customHeight="1">
      <c r="A595" s="161"/>
      <c r="B595" s="162"/>
      <c r="C595" s="163"/>
      <c r="D595" s="164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6"/>
    </row>
    <row r="596" ht="1.5" customHeight="1">
      <c r="A596" s="155"/>
      <c r="B596" s="156"/>
      <c r="C596" s="157"/>
      <c r="D596" s="158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60"/>
    </row>
    <row r="597" ht="1.5" customHeight="1">
      <c r="A597" s="161"/>
      <c r="B597" s="162"/>
      <c r="C597" s="163"/>
      <c r="D597" s="164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6"/>
    </row>
    <row r="598" ht="1.5" customHeight="1">
      <c r="A598" s="155"/>
      <c r="B598" s="156"/>
      <c r="C598" s="157"/>
      <c r="D598" s="158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60"/>
    </row>
    <row r="599" ht="1.5" customHeight="1">
      <c r="A599" s="161"/>
      <c r="B599" s="162"/>
      <c r="C599" s="163"/>
      <c r="D599" s="164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6"/>
    </row>
    <row r="600" ht="1.5" customHeight="1">
      <c r="A600" s="155"/>
      <c r="B600" s="156"/>
      <c r="C600" s="157"/>
      <c r="D600" s="158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60"/>
    </row>
    <row r="601" ht="1.5" customHeight="1">
      <c r="A601" s="161"/>
      <c r="B601" s="162"/>
      <c r="C601" s="163"/>
      <c r="D601" s="164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6"/>
    </row>
    <row r="602" ht="1.5" customHeight="1">
      <c r="A602" s="155"/>
      <c r="B602" s="156"/>
      <c r="C602" s="157"/>
      <c r="D602" s="158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60"/>
    </row>
    <row r="603" ht="1.5" customHeight="1">
      <c r="A603" s="161"/>
      <c r="B603" s="162"/>
      <c r="C603" s="163"/>
      <c r="D603" s="164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6"/>
    </row>
    <row r="604" ht="1.5" customHeight="1">
      <c r="A604" s="155"/>
      <c r="B604" s="156"/>
      <c r="C604" s="157"/>
      <c r="D604" s="158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60"/>
    </row>
    <row r="605" ht="1.5" customHeight="1">
      <c r="A605" s="161"/>
      <c r="B605" s="162"/>
      <c r="C605" s="163"/>
      <c r="D605" s="164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6"/>
    </row>
    <row r="606" ht="1.5" customHeight="1">
      <c r="A606" s="155"/>
      <c r="B606" s="156"/>
      <c r="C606" s="157"/>
      <c r="D606" s="158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60"/>
    </row>
    <row r="607" ht="1.5" customHeight="1">
      <c r="A607" s="161"/>
      <c r="B607" s="162"/>
      <c r="C607" s="163"/>
      <c r="D607" s="164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6"/>
    </row>
    <row r="608" ht="1.5" customHeight="1">
      <c r="A608" s="155"/>
      <c r="B608" s="156"/>
      <c r="C608" s="157"/>
      <c r="D608" s="158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60"/>
    </row>
    <row r="609" ht="1.5" customHeight="1">
      <c r="A609" s="161"/>
      <c r="B609" s="162"/>
      <c r="C609" s="163"/>
      <c r="D609" s="164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6"/>
    </row>
    <row r="610" ht="1.5" customHeight="1">
      <c r="A610" s="155"/>
      <c r="B610" s="156"/>
      <c r="C610" s="157"/>
      <c r="D610" s="158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60"/>
    </row>
    <row r="611" ht="1.5" customHeight="1">
      <c r="A611" s="161"/>
      <c r="B611" s="162"/>
      <c r="C611" s="163"/>
      <c r="D611" s="164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6"/>
    </row>
    <row r="612" ht="1.5" customHeight="1">
      <c r="A612" s="155"/>
      <c r="B612" s="156"/>
      <c r="C612" s="157"/>
      <c r="D612" s="158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60"/>
    </row>
    <row r="613" ht="1.5" customHeight="1">
      <c r="A613" s="161"/>
      <c r="B613" s="162"/>
      <c r="C613" s="163"/>
      <c r="D613" s="164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6"/>
    </row>
    <row r="614" ht="1.5" customHeight="1">
      <c r="A614" s="155"/>
      <c r="B614" s="156"/>
      <c r="C614" s="157"/>
      <c r="D614" s="158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60"/>
    </row>
    <row r="615" ht="1.5" customHeight="1">
      <c r="A615" s="161"/>
      <c r="B615" s="162"/>
      <c r="C615" s="163"/>
      <c r="D615" s="164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6"/>
    </row>
    <row r="616" ht="1.5" customHeight="1">
      <c r="A616" s="155"/>
      <c r="B616" s="156"/>
      <c r="C616" s="157"/>
      <c r="D616" s="158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60"/>
    </row>
    <row r="617" ht="1.5" customHeight="1">
      <c r="A617" s="161"/>
      <c r="B617" s="162"/>
      <c r="C617" s="163"/>
      <c r="D617" s="164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6"/>
    </row>
    <row r="618" ht="1.5" customHeight="1">
      <c r="A618" s="155"/>
      <c r="B618" s="156"/>
      <c r="C618" s="157"/>
      <c r="D618" s="158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60"/>
    </row>
    <row r="619" ht="1.5" customHeight="1">
      <c r="A619" s="161"/>
      <c r="B619" s="162"/>
      <c r="C619" s="163"/>
      <c r="D619" s="164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6"/>
    </row>
    <row r="620" ht="1.5" customHeight="1">
      <c r="A620" s="155"/>
      <c r="B620" s="156"/>
      <c r="C620" s="157"/>
      <c r="D620" s="158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60"/>
    </row>
    <row r="621" ht="1.5" customHeight="1">
      <c r="A621" s="161"/>
      <c r="B621" s="162"/>
      <c r="C621" s="163"/>
      <c r="D621" s="164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6"/>
    </row>
    <row r="622" ht="1.5" customHeight="1">
      <c r="A622" s="155"/>
      <c r="B622" s="156"/>
      <c r="C622" s="157"/>
      <c r="D622" s="158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60"/>
    </row>
    <row r="623" ht="1.5" customHeight="1">
      <c r="A623" s="161"/>
      <c r="B623" s="162"/>
      <c r="C623" s="163"/>
      <c r="D623" s="164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6"/>
    </row>
    <row r="624" ht="1.5" customHeight="1">
      <c r="A624" s="155"/>
      <c r="B624" s="156"/>
      <c r="C624" s="157"/>
      <c r="D624" s="158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60"/>
    </row>
    <row r="625" ht="1.5" customHeight="1">
      <c r="A625" s="161"/>
      <c r="B625" s="162"/>
      <c r="C625" s="163"/>
      <c r="D625" s="164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6"/>
    </row>
    <row r="626" ht="1.5" customHeight="1">
      <c r="A626" s="155"/>
      <c r="B626" s="156"/>
      <c r="C626" s="157"/>
      <c r="D626" s="158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60"/>
    </row>
    <row r="627" ht="1.5" customHeight="1">
      <c r="A627" s="161"/>
      <c r="B627" s="162"/>
      <c r="C627" s="163"/>
      <c r="D627" s="164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6"/>
    </row>
    <row r="628" ht="1.5" customHeight="1">
      <c r="A628" s="155"/>
      <c r="B628" s="156"/>
      <c r="C628" s="157"/>
      <c r="D628" s="158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60"/>
    </row>
    <row r="629" ht="1.5" customHeight="1">
      <c r="A629" s="161"/>
      <c r="B629" s="162"/>
      <c r="C629" s="163"/>
      <c r="D629" s="164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6"/>
    </row>
    <row r="630" ht="1.5" customHeight="1">
      <c r="A630" s="155"/>
      <c r="B630" s="156"/>
      <c r="C630" s="157"/>
      <c r="D630" s="158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60"/>
    </row>
    <row r="631" ht="1.5" customHeight="1">
      <c r="A631" s="161"/>
      <c r="B631" s="162"/>
      <c r="C631" s="163"/>
      <c r="D631" s="164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6"/>
    </row>
    <row r="632" ht="1.5" customHeight="1">
      <c r="A632" s="155"/>
      <c r="B632" s="156"/>
      <c r="C632" s="157"/>
      <c r="D632" s="158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60"/>
    </row>
    <row r="633" ht="1.5" customHeight="1">
      <c r="A633" s="161"/>
      <c r="B633" s="162"/>
      <c r="C633" s="163"/>
      <c r="D633" s="164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6"/>
    </row>
    <row r="634" ht="1.5" customHeight="1">
      <c r="A634" s="155"/>
      <c r="B634" s="156"/>
      <c r="C634" s="157"/>
      <c r="D634" s="158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60"/>
    </row>
    <row r="635" ht="1.5" customHeight="1">
      <c r="A635" s="161"/>
      <c r="B635" s="162"/>
      <c r="C635" s="163"/>
      <c r="D635" s="164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6"/>
    </row>
    <row r="636" ht="1.5" customHeight="1">
      <c r="A636" s="155"/>
      <c r="B636" s="156"/>
      <c r="C636" s="157"/>
      <c r="D636" s="158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60"/>
    </row>
    <row r="637" ht="1.5" customHeight="1">
      <c r="A637" s="161"/>
      <c r="B637" s="162"/>
      <c r="C637" s="163"/>
      <c r="D637" s="164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6"/>
    </row>
    <row r="638" ht="1.5" customHeight="1">
      <c r="A638" s="155"/>
      <c r="B638" s="156"/>
      <c r="C638" s="157"/>
      <c r="D638" s="158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60"/>
    </row>
    <row r="639" ht="1.5" customHeight="1">
      <c r="A639" s="161"/>
      <c r="B639" s="162"/>
      <c r="C639" s="163"/>
      <c r="D639" s="164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6"/>
    </row>
    <row r="640" ht="1.5" customHeight="1">
      <c r="A640" s="155"/>
      <c r="B640" s="156"/>
      <c r="C640" s="157"/>
      <c r="D640" s="158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60"/>
    </row>
    <row r="641" ht="1.5" customHeight="1">
      <c r="A641" s="161"/>
      <c r="B641" s="162"/>
      <c r="C641" s="163"/>
      <c r="D641" s="164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6"/>
    </row>
    <row r="642" ht="1.5" customHeight="1">
      <c r="A642" s="155"/>
      <c r="B642" s="156"/>
      <c r="C642" s="157"/>
      <c r="D642" s="158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60"/>
    </row>
    <row r="643" ht="1.5" customHeight="1">
      <c r="A643" s="161"/>
      <c r="B643" s="162"/>
      <c r="C643" s="163"/>
      <c r="D643" s="164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6"/>
    </row>
    <row r="644" ht="1.5" customHeight="1">
      <c r="A644" s="155"/>
      <c r="B644" s="156"/>
      <c r="C644" s="157"/>
      <c r="D644" s="158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60"/>
    </row>
    <row r="645" ht="1.5" customHeight="1">
      <c r="A645" s="161"/>
      <c r="B645" s="162"/>
      <c r="C645" s="163"/>
      <c r="D645" s="164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6"/>
    </row>
    <row r="646" ht="1.5" customHeight="1">
      <c r="A646" s="155"/>
      <c r="B646" s="156"/>
      <c r="C646" s="157"/>
      <c r="D646" s="158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60"/>
    </row>
    <row r="647" ht="1.5" customHeight="1">
      <c r="A647" s="161"/>
      <c r="B647" s="162"/>
      <c r="C647" s="163"/>
      <c r="D647" s="164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6"/>
    </row>
    <row r="648" ht="1.5" customHeight="1">
      <c r="A648" s="155"/>
      <c r="B648" s="156"/>
      <c r="C648" s="157"/>
      <c r="D648" s="158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60"/>
    </row>
    <row r="649" ht="1.5" customHeight="1">
      <c r="A649" s="161"/>
      <c r="B649" s="162"/>
      <c r="C649" s="163"/>
      <c r="D649" s="164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6"/>
    </row>
    <row r="650" ht="1.5" customHeight="1">
      <c r="A650" s="155"/>
      <c r="B650" s="156"/>
      <c r="C650" s="157"/>
      <c r="D650" s="158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60"/>
    </row>
    <row r="651" ht="1.5" customHeight="1">
      <c r="A651" s="161"/>
      <c r="B651" s="162"/>
      <c r="C651" s="163"/>
      <c r="D651" s="164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6"/>
    </row>
    <row r="652" ht="1.5" customHeight="1">
      <c r="A652" s="155"/>
      <c r="B652" s="156"/>
      <c r="C652" s="157"/>
      <c r="D652" s="158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60"/>
    </row>
    <row r="653" ht="1.5" customHeight="1">
      <c r="A653" s="161"/>
      <c r="B653" s="162"/>
      <c r="C653" s="163"/>
      <c r="D653" s="164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6"/>
    </row>
    <row r="654" ht="1.5" customHeight="1">
      <c r="A654" s="155"/>
      <c r="B654" s="156"/>
      <c r="C654" s="157"/>
      <c r="D654" s="158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60"/>
    </row>
    <row r="655" ht="1.5" customHeight="1">
      <c r="A655" s="161"/>
      <c r="B655" s="162"/>
      <c r="C655" s="163"/>
      <c r="D655" s="164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6"/>
    </row>
    <row r="656" ht="1.5" customHeight="1">
      <c r="A656" s="155"/>
      <c r="B656" s="156"/>
      <c r="C656" s="157"/>
      <c r="D656" s="158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60"/>
    </row>
    <row r="657" ht="1.5" customHeight="1">
      <c r="A657" s="161"/>
      <c r="B657" s="162"/>
      <c r="C657" s="163"/>
      <c r="D657" s="164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6"/>
    </row>
    <row r="658" ht="1.5" customHeight="1">
      <c r="A658" s="155"/>
      <c r="B658" s="156"/>
      <c r="C658" s="157"/>
      <c r="D658" s="158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60"/>
    </row>
    <row r="659" ht="1.5" customHeight="1">
      <c r="A659" s="161"/>
      <c r="B659" s="162"/>
      <c r="C659" s="163"/>
      <c r="D659" s="164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6"/>
    </row>
    <row r="660" ht="1.5" customHeight="1">
      <c r="A660" s="155"/>
      <c r="B660" s="156"/>
      <c r="C660" s="157"/>
      <c r="D660" s="158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60"/>
    </row>
    <row r="661" ht="1.5" customHeight="1">
      <c r="A661" s="161"/>
      <c r="B661" s="162"/>
      <c r="C661" s="163"/>
      <c r="D661" s="164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6"/>
    </row>
    <row r="662" ht="1.5" customHeight="1">
      <c r="A662" s="155"/>
      <c r="B662" s="156"/>
      <c r="C662" s="157"/>
      <c r="D662" s="158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60"/>
    </row>
    <row r="663" ht="1.5" customHeight="1">
      <c r="A663" s="161"/>
      <c r="B663" s="162"/>
      <c r="C663" s="163"/>
      <c r="D663" s="164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6"/>
    </row>
    <row r="664" ht="1.5" customHeight="1">
      <c r="A664" s="155"/>
      <c r="B664" s="156"/>
      <c r="C664" s="157"/>
      <c r="D664" s="158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60"/>
    </row>
    <row r="665" ht="1.5" customHeight="1">
      <c r="A665" s="161"/>
      <c r="B665" s="162"/>
      <c r="C665" s="163"/>
      <c r="D665" s="164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6"/>
    </row>
    <row r="666" ht="1.5" customHeight="1">
      <c r="A666" s="155"/>
      <c r="B666" s="156"/>
      <c r="C666" s="157"/>
      <c r="D666" s="158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60"/>
    </row>
    <row r="667" ht="1.5" customHeight="1">
      <c r="A667" s="161"/>
      <c r="B667" s="162"/>
      <c r="C667" s="163"/>
      <c r="D667" s="164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6"/>
    </row>
    <row r="668" ht="1.5" customHeight="1">
      <c r="A668" s="155"/>
      <c r="B668" s="156"/>
      <c r="C668" s="157"/>
      <c r="D668" s="158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60"/>
    </row>
    <row r="669" ht="1.5" customHeight="1">
      <c r="A669" s="161"/>
      <c r="B669" s="162"/>
      <c r="C669" s="163"/>
      <c r="D669" s="164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6"/>
    </row>
    <row r="670" ht="1.5" customHeight="1">
      <c r="A670" s="155"/>
      <c r="B670" s="156"/>
      <c r="C670" s="157"/>
      <c r="D670" s="158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60"/>
    </row>
    <row r="671" ht="1.5" customHeight="1">
      <c r="A671" s="161"/>
      <c r="B671" s="162"/>
      <c r="C671" s="163"/>
      <c r="D671" s="164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6"/>
    </row>
    <row r="672" ht="1.5" customHeight="1">
      <c r="A672" s="155"/>
      <c r="B672" s="156"/>
      <c r="C672" s="157"/>
      <c r="D672" s="158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60"/>
    </row>
    <row r="673" ht="1.5" customHeight="1">
      <c r="A673" s="161"/>
      <c r="B673" s="162"/>
      <c r="C673" s="163"/>
      <c r="D673" s="164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6"/>
    </row>
    <row r="674" ht="1.5" customHeight="1">
      <c r="A674" s="155"/>
      <c r="B674" s="156"/>
      <c r="C674" s="157"/>
      <c r="D674" s="158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60"/>
    </row>
    <row r="675" ht="1.5" customHeight="1">
      <c r="A675" s="161"/>
      <c r="B675" s="162"/>
      <c r="C675" s="163"/>
      <c r="D675" s="164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6"/>
    </row>
    <row r="676" ht="1.5" customHeight="1">
      <c r="A676" s="155"/>
      <c r="B676" s="156"/>
      <c r="C676" s="157"/>
      <c r="D676" s="158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60"/>
    </row>
    <row r="677" ht="1.5" customHeight="1">
      <c r="A677" s="161"/>
      <c r="B677" s="162"/>
      <c r="C677" s="163"/>
      <c r="D677" s="164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6"/>
    </row>
    <row r="678" ht="1.5" customHeight="1">
      <c r="A678" s="155"/>
      <c r="B678" s="156"/>
      <c r="C678" s="157"/>
      <c r="D678" s="158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60"/>
    </row>
    <row r="679" ht="1.5" customHeight="1">
      <c r="A679" s="161"/>
      <c r="B679" s="162"/>
      <c r="C679" s="163"/>
      <c r="D679" s="164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6"/>
    </row>
    <row r="680" ht="1.5" customHeight="1">
      <c r="A680" s="155"/>
      <c r="B680" s="156"/>
      <c r="C680" s="157"/>
      <c r="D680" s="158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60"/>
    </row>
    <row r="681" ht="1.5" customHeight="1">
      <c r="A681" s="161"/>
      <c r="B681" s="162"/>
      <c r="C681" s="163"/>
      <c r="D681" s="164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6"/>
    </row>
    <row r="682" ht="1.5" customHeight="1">
      <c r="A682" s="155"/>
      <c r="B682" s="156"/>
      <c r="C682" s="157"/>
      <c r="D682" s="158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60"/>
    </row>
    <row r="683" ht="1.5" customHeight="1">
      <c r="A683" s="161"/>
      <c r="B683" s="162"/>
      <c r="C683" s="163"/>
      <c r="D683" s="164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6"/>
    </row>
    <row r="684" ht="1.5" customHeight="1">
      <c r="A684" s="155"/>
      <c r="B684" s="156"/>
      <c r="C684" s="157"/>
      <c r="D684" s="158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60"/>
    </row>
    <row r="685" ht="1.5" customHeight="1">
      <c r="A685" s="161"/>
      <c r="B685" s="162"/>
      <c r="C685" s="163"/>
      <c r="D685" s="164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6"/>
    </row>
    <row r="686" ht="1.5" customHeight="1">
      <c r="A686" s="155"/>
      <c r="B686" s="156"/>
      <c r="C686" s="157"/>
      <c r="D686" s="158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60"/>
    </row>
    <row r="687" ht="1.5" customHeight="1">
      <c r="A687" s="161"/>
      <c r="B687" s="162"/>
      <c r="C687" s="163"/>
      <c r="D687" s="164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6"/>
    </row>
    <row r="688" ht="1.5" customHeight="1">
      <c r="A688" s="155"/>
      <c r="B688" s="156"/>
      <c r="C688" s="157"/>
      <c r="D688" s="158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60"/>
    </row>
    <row r="689" ht="1.5" customHeight="1">
      <c r="A689" s="161"/>
      <c r="B689" s="162"/>
      <c r="C689" s="163"/>
      <c r="D689" s="164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6"/>
    </row>
    <row r="690" ht="1.5" customHeight="1">
      <c r="A690" s="155"/>
      <c r="B690" s="156"/>
      <c r="C690" s="157"/>
      <c r="D690" s="158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60"/>
    </row>
    <row r="691" ht="1.5" customHeight="1">
      <c r="A691" s="161"/>
      <c r="B691" s="162"/>
      <c r="C691" s="163"/>
      <c r="D691" s="164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6"/>
    </row>
    <row r="692" ht="1.5" customHeight="1">
      <c r="A692" s="155"/>
      <c r="B692" s="156"/>
      <c r="C692" s="157"/>
      <c r="D692" s="158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60"/>
    </row>
    <row r="693" ht="1.5" customHeight="1">
      <c r="A693" s="161"/>
      <c r="B693" s="162"/>
      <c r="C693" s="163"/>
      <c r="D693" s="164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6"/>
    </row>
    <row r="694" ht="1.5" customHeight="1">
      <c r="A694" s="155"/>
      <c r="B694" s="156"/>
      <c r="C694" s="157"/>
      <c r="D694" s="158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60"/>
    </row>
    <row r="695" ht="1.5" customHeight="1">
      <c r="A695" s="161"/>
      <c r="B695" s="162"/>
      <c r="C695" s="163"/>
      <c r="D695" s="164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6"/>
    </row>
    <row r="696" ht="1.5" customHeight="1">
      <c r="A696" s="155"/>
      <c r="B696" s="156"/>
      <c r="C696" s="157"/>
      <c r="D696" s="158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60"/>
    </row>
    <row r="697" ht="1.5" customHeight="1">
      <c r="A697" s="161"/>
      <c r="B697" s="162"/>
      <c r="C697" s="163"/>
      <c r="D697" s="164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6"/>
    </row>
    <row r="698" ht="1.5" customHeight="1">
      <c r="A698" s="155"/>
      <c r="B698" s="156"/>
      <c r="C698" s="157"/>
      <c r="D698" s="158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60"/>
    </row>
    <row r="699" ht="1.5" customHeight="1">
      <c r="A699" s="161"/>
      <c r="B699" s="162"/>
      <c r="C699" s="163"/>
      <c r="D699" s="164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6"/>
    </row>
    <row r="700" ht="1.5" customHeight="1">
      <c r="A700" s="155"/>
      <c r="B700" s="156"/>
      <c r="C700" s="157"/>
      <c r="D700" s="158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60"/>
    </row>
    <row r="701" ht="1.5" customHeight="1">
      <c r="A701" s="161"/>
      <c r="B701" s="162"/>
      <c r="C701" s="163"/>
      <c r="D701" s="164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6"/>
    </row>
    <row r="702" ht="1.5" customHeight="1">
      <c r="A702" s="155"/>
      <c r="B702" s="156"/>
      <c r="C702" s="157"/>
      <c r="D702" s="158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60"/>
    </row>
    <row r="703" ht="1.5" customHeight="1">
      <c r="A703" s="161"/>
      <c r="B703" s="162"/>
      <c r="C703" s="163"/>
      <c r="D703" s="164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6"/>
    </row>
    <row r="704" ht="1.5" customHeight="1">
      <c r="A704" s="155"/>
      <c r="B704" s="156"/>
      <c r="C704" s="157"/>
      <c r="D704" s="158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60"/>
    </row>
    <row r="705" ht="1.5" customHeight="1">
      <c r="A705" s="161"/>
      <c r="B705" s="162"/>
      <c r="C705" s="163"/>
      <c r="D705" s="164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6"/>
    </row>
    <row r="706" ht="1.5" customHeight="1">
      <c r="A706" s="155"/>
      <c r="B706" s="156"/>
      <c r="C706" s="157"/>
      <c r="D706" s="158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60"/>
    </row>
    <row r="707" ht="1.5" customHeight="1">
      <c r="A707" s="161"/>
      <c r="B707" s="162"/>
      <c r="C707" s="163"/>
      <c r="D707" s="164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6"/>
    </row>
    <row r="708" ht="1.5" customHeight="1">
      <c r="A708" s="155"/>
      <c r="B708" s="156"/>
      <c r="C708" s="157"/>
      <c r="D708" s="158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60"/>
    </row>
    <row r="709" ht="1.5" customHeight="1">
      <c r="A709" s="161"/>
      <c r="B709" s="162"/>
      <c r="C709" s="163"/>
      <c r="D709" s="164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6"/>
    </row>
    <row r="710" ht="1.5" customHeight="1">
      <c r="A710" s="155"/>
      <c r="B710" s="156"/>
      <c r="C710" s="157"/>
      <c r="D710" s="158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60"/>
    </row>
    <row r="711" ht="1.5" customHeight="1">
      <c r="A711" s="161"/>
      <c r="B711" s="162"/>
      <c r="C711" s="163"/>
      <c r="D711" s="164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6"/>
    </row>
    <row r="712" ht="1.5" customHeight="1">
      <c r="A712" s="155"/>
      <c r="B712" s="156"/>
      <c r="C712" s="157"/>
      <c r="D712" s="158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60"/>
    </row>
    <row r="713" ht="1.5" customHeight="1">
      <c r="A713" s="161"/>
      <c r="B713" s="162"/>
      <c r="C713" s="163"/>
      <c r="D713" s="164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6"/>
    </row>
    <row r="714" ht="1.5" customHeight="1">
      <c r="A714" s="155"/>
      <c r="B714" s="156"/>
      <c r="C714" s="157"/>
      <c r="D714" s="158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60"/>
    </row>
    <row r="715" ht="1.5" customHeight="1">
      <c r="A715" s="161"/>
      <c r="B715" s="162"/>
      <c r="C715" s="163"/>
      <c r="D715" s="164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6"/>
    </row>
    <row r="716" ht="1.5" customHeight="1">
      <c r="A716" s="155"/>
      <c r="B716" s="156"/>
      <c r="C716" s="157"/>
      <c r="D716" s="158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60"/>
    </row>
    <row r="717" ht="1.5" customHeight="1">
      <c r="A717" s="161"/>
      <c r="B717" s="162"/>
      <c r="C717" s="163"/>
      <c r="D717" s="164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6"/>
    </row>
    <row r="718" ht="1.5" customHeight="1">
      <c r="A718" s="155"/>
      <c r="B718" s="156"/>
      <c r="C718" s="157"/>
      <c r="D718" s="158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60"/>
    </row>
    <row r="719" ht="1.5" customHeight="1">
      <c r="A719" s="161"/>
      <c r="B719" s="162"/>
      <c r="C719" s="163"/>
      <c r="D719" s="164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6"/>
    </row>
    <row r="720" ht="1.5" customHeight="1">
      <c r="A720" s="155"/>
      <c r="B720" s="156"/>
      <c r="C720" s="157"/>
      <c r="D720" s="158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60"/>
    </row>
    <row r="721" ht="1.5" customHeight="1">
      <c r="A721" s="161"/>
      <c r="B721" s="162"/>
      <c r="C721" s="163"/>
      <c r="D721" s="164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6"/>
    </row>
    <row r="722" ht="1.5" customHeight="1">
      <c r="A722" s="155"/>
      <c r="B722" s="156"/>
      <c r="C722" s="157"/>
      <c r="D722" s="158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60"/>
    </row>
    <row r="723" ht="1.5" customHeight="1">
      <c r="A723" s="161"/>
      <c r="B723" s="162"/>
      <c r="C723" s="163"/>
      <c r="D723" s="164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6"/>
    </row>
    <row r="724" ht="1.5" customHeight="1">
      <c r="A724" s="155"/>
      <c r="B724" s="156"/>
      <c r="C724" s="157"/>
      <c r="D724" s="158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60"/>
    </row>
    <row r="725" ht="1.5" customHeight="1">
      <c r="A725" s="161"/>
      <c r="B725" s="162"/>
      <c r="C725" s="163"/>
      <c r="D725" s="164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6"/>
    </row>
    <row r="726" ht="1.5" customHeight="1">
      <c r="A726" s="155"/>
      <c r="B726" s="156"/>
      <c r="C726" s="157"/>
      <c r="D726" s="158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60"/>
    </row>
    <row r="727" ht="1.5" customHeight="1">
      <c r="A727" s="161"/>
      <c r="B727" s="162"/>
      <c r="C727" s="163"/>
      <c r="D727" s="164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6"/>
    </row>
    <row r="728" ht="1.5" customHeight="1">
      <c r="A728" s="155"/>
      <c r="B728" s="156"/>
      <c r="C728" s="157"/>
      <c r="D728" s="158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60"/>
    </row>
    <row r="729" ht="1.5" customHeight="1">
      <c r="A729" s="161"/>
      <c r="B729" s="162"/>
      <c r="C729" s="163"/>
      <c r="D729" s="164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6"/>
    </row>
    <row r="730" ht="1.5" customHeight="1">
      <c r="A730" s="155"/>
      <c r="B730" s="156"/>
      <c r="C730" s="157"/>
      <c r="D730" s="158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60"/>
    </row>
    <row r="731" ht="1.5" customHeight="1">
      <c r="A731" s="161"/>
      <c r="B731" s="162"/>
      <c r="C731" s="163"/>
      <c r="D731" s="164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6"/>
    </row>
    <row r="732" ht="1.5" customHeight="1">
      <c r="A732" s="155"/>
      <c r="B732" s="156"/>
      <c r="C732" s="157"/>
      <c r="D732" s="158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60"/>
    </row>
    <row r="733" ht="1.5" customHeight="1">
      <c r="A733" s="161"/>
      <c r="B733" s="162"/>
      <c r="C733" s="163"/>
      <c r="D733" s="164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6"/>
    </row>
    <row r="734" ht="1.5" customHeight="1">
      <c r="A734" s="155"/>
      <c r="B734" s="156"/>
      <c r="C734" s="157"/>
      <c r="D734" s="158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60"/>
    </row>
    <row r="735" ht="1.5" customHeight="1">
      <c r="A735" s="161"/>
      <c r="B735" s="162"/>
      <c r="C735" s="163"/>
      <c r="D735" s="164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6"/>
    </row>
    <row r="736" ht="1.5" customHeight="1">
      <c r="A736" s="155"/>
      <c r="B736" s="156"/>
      <c r="C736" s="157"/>
      <c r="D736" s="158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60"/>
    </row>
    <row r="737" ht="1.5" customHeight="1">
      <c r="A737" s="161"/>
      <c r="B737" s="162"/>
      <c r="C737" s="163"/>
      <c r="D737" s="164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6"/>
    </row>
    <row r="738" ht="1.5" customHeight="1">
      <c r="A738" s="155"/>
      <c r="B738" s="156"/>
      <c r="C738" s="157"/>
      <c r="D738" s="158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60"/>
    </row>
    <row r="739" ht="1.5" customHeight="1">
      <c r="A739" s="161"/>
      <c r="B739" s="162"/>
      <c r="C739" s="163"/>
      <c r="D739" s="164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6"/>
    </row>
    <row r="740" ht="1.5" customHeight="1">
      <c r="A740" s="155"/>
      <c r="B740" s="156"/>
      <c r="C740" s="157"/>
      <c r="D740" s="158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60"/>
    </row>
    <row r="741" ht="1.5" customHeight="1">
      <c r="A741" s="161"/>
      <c r="B741" s="162"/>
      <c r="C741" s="163"/>
      <c r="D741" s="164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6"/>
    </row>
    <row r="742" ht="1.5" customHeight="1">
      <c r="A742" s="155"/>
      <c r="B742" s="156"/>
      <c r="C742" s="157"/>
      <c r="D742" s="158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60"/>
    </row>
    <row r="743" ht="1.5" customHeight="1">
      <c r="A743" s="161"/>
      <c r="B743" s="162"/>
      <c r="C743" s="163"/>
      <c r="D743" s="164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6"/>
    </row>
    <row r="744" ht="1.5" customHeight="1">
      <c r="A744" s="155"/>
      <c r="B744" s="156"/>
      <c r="C744" s="157"/>
      <c r="D744" s="158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60"/>
    </row>
    <row r="745" ht="1.5" customHeight="1">
      <c r="A745" s="161"/>
      <c r="B745" s="162"/>
      <c r="C745" s="163"/>
      <c r="D745" s="164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6"/>
    </row>
    <row r="746" ht="1.5" customHeight="1">
      <c r="A746" s="155"/>
      <c r="B746" s="156"/>
      <c r="C746" s="157"/>
      <c r="D746" s="158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60"/>
    </row>
    <row r="747" ht="1.5" customHeight="1">
      <c r="A747" s="161"/>
      <c r="B747" s="162"/>
      <c r="C747" s="163"/>
      <c r="D747" s="164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6"/>
    </row>
    <row r="748" ht="1.5" customHeight="1">
      <c r="A748" s="155"/>
      <c r="B748" s="156"/>
      <c r="C748" s="157"/>
      <c r="D748" s="158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60"/>
    </row>
    <row r="749" ht="1.5" customHeight="1">
      <c r="A749" s="161"/>
      <c r="B749" s="162"/>
      <c r="C749" s="163"/>
      <c r="D749" s="164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6"/>
    </row>
    <row r="750" ht="1.5" customHeight="1">
      <c r="A750" s="155"/>
      <c r="B750" s="156"/>
      <c r="C750" s="157"/>
      <c r="D750" s="158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60"/>
    </row>
    <row r="751" ht="1.5" customHeight="1">
      <c r="A751" s="161"/>
      <c r="B751" s="162"/>
      <c r="C751" s="163"/>
      <c r="D751" s="164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6"/>
    </row>
    <row r="752" ht="1.5" customHeight="1">
      <c r="A752" s="155"/>
      <c r="B752" s="156"/>
      <c r="C752" s="157"/>
      <c r="D752" s="158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60"/>
    </row>
    <row r="753" ht="1.5" customHeight="1">
      <c r="A753" s="161"/>
      <c r="B753" s="162"/>
      <c r="C753" s="163"/>
      <c r="D753" s="164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6"/>
    </row>
    <row r="754" ht="1.5" customHeight="1">
      <c r="A754" s="155"/>
      <c r="B754" s="156"/>
      <c r="C754" s="157"/>
      <c r="D754" s="158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60"/>
    </row>
    <row r="755" ht="1.5" customHeight="1">
      <c r="A755" s="161"/>
      <c r="B755" s="162"/>
      <c r="C755" s="163"/>
      <c r="D755" s="164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6"/>
    </row>
    <row r="756" ht="1.5" customHeight="1">
      <c r="A756" s="155"/>
      <c r="B756" s="156"/>
      <c r="C756" s="157"/>
      <c r="D756" s="158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60"/>
    </row>
    <row r="757" ht="1.5" customHeight="1">
      <c r="A757" s="161"/>
      <c r="B757" s="162"/>
      <c r="C757" s="163"/>
      <c r="D757" s="164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6"/>
    </row>
    <row r="758" ht="1.5" customHeight="1">
      <c r="A758" s="155"/>
      <c r="B758" s="156"/>
      <c r="C758" s="157"/>
      <c r="D758" s="158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60"/>
    </row>
    <row r="759" ht="1.5" customHeight="1">
      <c r="A759" s="161"/>
      <c r="B759" s="162"/>
      <c r="C759" s="163"/>
      <c r="D759" s="164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6"/>
    </row>
    <row r="760" ht="1.5" customHeight="1">
      <c r="A760" s="155"/>
      <c r="B760" s="156"/>
      <c r="C760" s="157"/>
      <c r="D760" s="158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60"/>
    </row>
    <row r="761" ht="1.5" customHeight="1">
      <c r="A761" s="161"/>
      <c r="B761" s="162"/>
      <c r="C761" s="163"/>
      <c r="D761" s="164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6"/>
    </row>
    <row r="762" ht="1.5" customHeight="1">
      <c r="A762" s="155"/>
      <c r="B762" s="156"/>
      <c r="C762" s="157"/>
      <c r="D762" s="158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60"/>
    </row>
    <row r="763" ht="1.5" customHeight="1">
      <c r="A763" s="161"/>
      <c r="B763" s="162"/>
      <c r="C763" s="163"/>
      <c r="D763" s="164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6"/>
    </row>
    <row r="764" ht="1.5" customHeight="1">
      <c r="A764" s="155"/>
      <c r="B764" s="156"/>
      <c r="C764" s="157"/>
      <c r="D764" s="158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60"/>
    </row>
    <row r="765" ht="1.5" customHeight="1">
      <c r="A765" s="161"/>
      <c r="B765" s="162"/>
      <c r="C765" s="163"/>
      <c r="D765" s="164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6"/>
    </row>
    <row r="766" ht="1.5" customHeight="1">
      <c r="A766" s="155"/>
      <c r="B766" s="156"/>
      <c r="C766" s="157"/>
      <c r="D766" s="158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60"/>
    </row>
    <row r="767" ht="1.5" customHeight="1">
      <c r="A767" s="161"/>
      <c r="B767" s="162"/>
      <c r="C767" s="163"/>
      <c r="D767" s="164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6"/>
    </row>
    <row r="768" ht="1.5" customHeight="1">
      <c r="A768" s="155"/>
      <c r="B768" s="156"/>
      <c r="C768" s="157"/>
      <c r="D768" s="158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60"/>
    </row>
    <row r="769" ht="1.5" customHeight="1">
      <c r="A769" s="161"/>
      <c r="B769" s="162"/>
      <c r="C769" s="163"/>
      <c r="D769" s="164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6"/>
    </row>
    <row r="770" ht="1.5" customHeight="1">
      <c r="A770" s="155"/>
      <c r="B770" s="156"/>
      <c r="C770" s="157"/>
      <c r="D770" s="158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60"/>
    </row>
    <row r="771" ht="1.5" customHeight="1">
      <c r="A771" s="161"/>
      <c r="B771" s="162"/>
      <c r="C771" s="163"/>
      <c r="D771" s="164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6"/>
    </row>
    <row r="772" ht="1.5" customHeight="1">
      <c r="A772" s="155"/>
      <c r="B772" s="156"/>
      <c r="C772" s="157"/>
      <c r="D772" s="158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60"/>
    </row>
    <row r="773" ht="1.5" customHeight="1">
      <c r="A773" s="161"/>
      <c r="B773" s="162"/>
      <c r="C773" s="163"/>
      <c r="D773" s="164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6"/>
    </row>
    <row r="774" ht="1.5" customHeight="1">
      <c r="A774" s="155"/>
      <c r="B774" s="156"/>
      <c r="C774" s="157"/>
      <c r="D774" s="158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60"/>
    </row>
    <row r="775" ht="1.5" customHeight="1">
      <c r="A775" s="161"/>
      <c r="B775" s="162"/>
      <c r="C775" s="163"/>
      <c r="D775" s="164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6"/>
    </row>
    <row r="776" ht="1.5" customHeight="1">
      <c r="A776" s="155"/>
      <c r="B776" s="156"/>
      <c r="C776" s="157"/>
      <c r="D776" s="158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60"/>
    </row>
    <row r="777" ht="1.5" customHeight="1">
      <c r="A777" s="161"/>
      <c r="B777" s="162"/>
      <c r="C777" s="163"/>
      <c r="D777" s="164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6"/>
    </row>
    <row r="778" ht="1.5" customHeight="1">
      <c r="A778" s="155"/>
      <c r="B778" s="156"/>
      <c r="C778" s="157"/>
      <c r="D778" s="158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60"/>
    </row>
    <row r="779" ht="1.5" customHeight="1">
      <c r="A779" s="161"/>
      <c r="B779" s="162"/>
      <c r="C779" s="163"/>
      <c r="D779" s="164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6"/>
    </row>
    <row r="780" ht="1.5" customHeight="1">
      <c r="A780" s="155"/>
      <c r="B780" s="156"/>
      <c r="C780" s="157"/>
      <c r="D780" s="158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60"/>
    </row>
    <row r="781" ht="1.5" customHeight="1">
      <c r="A781" s="161"/>
      <c r="B781" s="162"/>
      <c r="C781" s="163"/>
      <c r="D781" s="164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6"/>
    </row>
    <row r="782" ht="1.5" customHeight="1">
      <c r="A782" s="155"/>
      <c r="B782" s="156"/>
      <c r="C782" s="157"/>
      <c r="D782" s="158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60"/>
    </row>
    <row r="783" ht="1.5" customHeight="1">
      <c r="A783" s="161"/>
      <c r="B783" s="162"/>
      <c r="C783" s="163"/>
      <c r="D783" s="164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6"/>
    </row>
    <row r="784" ht="1.5" customHeight="1">
      <c r="A784" s="155"/>
      <c r="B784" s="156"/>
      <c r="C784" s="157"/>
      <c r="D784" s="158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60"/>
    </row>
    <row r="785" ht="1.5" customHeight="1">
      <c r="A785" s="161"/>
      <c r="B785" s="162"/>
      <c r="C785" s="163"/>
      <c r="D785" s="164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6"/>
    </row>
    <row r="786" ht="1.5" customHeight="1">
      <c r="A786" s="155"/>
      <c r="B786" s="156"/>
      <c r="C786" s="157"/>
      <c r="D786" s="158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60"/>
    </row>
    <row r="787" ht="1.5" customHeight="1">
      <c r="A787" s="161"/>
      <c r="B787" s="162"/>
      <c r="C787" s="163"/>
      <c r="D787" s="164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6"/>
    </row>
    <row r="788" ht="1.5" customHeight="1">
      <c r="A788" s="155"/>
      <c r="B788" s="156"/>
      <c r="C788" s="157"/>
      <c r="D788" s="158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60"/>
    </row>
    <row r="789" ht="1.5" customHeight="1">
      <c r="A789" s="161"/>
      <c r="B789" s="162"/>
      <c r="C789" s="163"/>
      <c r="D789" s="164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6"/>
    </row>
    <row r="790" ht="1.5" customHeight="1">
      <c r="A790" s="155"/>
      <c r="B790" s="156"/>
      <c r="C790" s="157"/>
      <c r="D790" s="158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60"/>
    </row>
    <row r="791" ht="1.5" customHeight="1">
      <c r="A791" s="161"/>
      <c r="B791" s="162"/>
      <c r="C791" s="163"/>
      <c r="D791" s="164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6"/>
    </row>
    <row r="792" ht="1.5" customHeight="1">
      <c r="A792" s="155"/>
      <c r="B792" s="156"/>
      <c r="C792" s="157"/>
      <c r="D792" s="158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60"/>
    </row>
    <row r="793" ht="1.5" customHeight="1">
      <c r="A793" s="161"/>
      <c r="B793" s="162"/>
      <c r="C793" s="163"/>
      <c r="D793" s="164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6"/>
    </row>
    <row r="794" ht="1.5" customHeight="1">
      <c r="A794" s="155"/>
      <c r="B794" s="156"/>
      <c r="C794" s="157"/>
      <c r="D794" s="158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60"/>
    </row>
    <row r="795" ht="1.5" customHeight="1">
      <c r="A795" s="161"/>
      <c r="B795" s="162"/>
      <c r="C795" s="163"/>
      <c r="D795" s="164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6"/>
    </row>
    <row r="796" ht="1.5" customHeight="1">
      <c r="A796" s="155"/>
      <c r="B796" s="156"/>
      <c r="C796" s="157"/>
      <c r="D796" s="158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60"/>
    </row>
    <row r="797" ht="1.5" customHeight="1">
      <c r="A797" s="161"/>
      <c r="B797" s="162"/>
      <c r="C797" s="163"/>
      <c r="D797" s="164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6"/>
    </row>
    <row r="798" ht="1.5" customHeight="1">
      <c r="A798" s="155"/>
      <c r="B798" s="156"/>
      <c r="C798" s="157"/>
      <c r="D798" s="158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60"/>
    </row>
    <row r="799" ht="1.5" customHeight="1">
      <c r="A799" s="161"/>
      <c r="B799" s="162"/>
      <c r="C799" s="163"/>
      <c r="D799" s="164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6"/>
    </row>
    <row r="800" ht="1.5" customHeight="1">
      <c r="A800" s="155"/>
      <c r="B800" s="156"/>
      <c r="C800" s="157"/>
      <c r="D800" s="158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60"/>
    </row>
    <row r="801" ht="1.5" customHeight="1">
      <c r="A801" s="161"/>
      <c r="B801" s="162"/>
      <c r="C801" s="163"/>
      <c r="D801" s="164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6"/>
    </row>
    <row r="802" ht="1.5" customHeight="1">
      <c r="A802" s="155"/>
      <c r="B802" s="156"/>
      <c r="C802" s="157"/>
      <c r="D802" s="158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60"/>
    </row>
    <row r="803" ht="1.5" customHeight="1">
      <c r="A803" s="161"/>
      <c r="B803" s="162"/>
      <c r="C803" s="163"/>
      <c r="D803" s="164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6"/>
    </row>
    <row r="804" ht="1.5" customHeight="1">
      <c r="A804" s="155"/>
      <c r="B804" s="156"/>
      <c r="C804" s="157"/>
      <c r="D804" s="158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60"/>
    </row>
    <row r="805" ht="1.5" customHeight="1">
      <c r="A805" s="161"/>
      <c r="B805" s="162"/>
      <c r="C805" s="163"/>
      <c r="D805" s="164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6"/>
    </row>
    <row r="806" ht="1.5" customHeight="1">
      <c r="A806" s="155"/>
      <c r="B806" s="156"/>
      <c r="C806" s="157"/>
      <c r="D806" s="158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60"/>
    </row>
    <row r="807" ht="1.5" customHeight="1">
      <c r="A807" s="161"/>
      <c r="B807" s="162"/>
      <c r="C807" s="163"/>
      <c r="D807" s="164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6"/>
    </row>
    <row r="808" ht="1.5" customHeight="1">
      <c r="A808" s="155"/>
      <c r="B808" s="156"/>
      <c r="C808" s="157"/>
      <c r="D808" s="158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60"/>
    </row>
    <row r="809" ht="1.5" customHeight="1">
      <c r="A809" s="161"/>
      <c r="B809" s="162"/>
      <c r="C809" s="163"/>
      <c r="D809" s="164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6"/>
    </row>
    <row r="810" ht="1.5" customHeight="1">
      <c r="A810" s="155"/>
      <c r="B810" s="156"/>
      <c r="C810" s="157"/>
      <c r="D810" s="158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60"/>
    </row>
    <row r="811" ht="1.5" customHeight="1">
      <c r="A811" s="161"/>
      <c r="B811" s="162"/>
      <c r="C811" s="163"/>
      <c r="D811" s="164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6"/>
    </row>
    <row r="812" ht="1.5" customHeight="1">
      <c r="A812" s="155"/>
      <c r="B812" s="156"/>
      <c r="C812" s="157"/>
      <c r="D812" s="158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60"/>
    </row>
    <row r="813" ht="1.5" customHeight="1">
      <c r="A813" s="161"/>
      <c r="B813" s="162"/>
      <c r="C813" s="163"/>
      <c r="D813" s="164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6"/>
    </row>
    <row r="814" ht="1.5" customHeight="1">
      <c r="A814" s="155"/>
      <c r="B814" s="156"/>
      <c r="C814" s="157"/>
      <c r="D814" s="158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60"/>
    </row>
    <row r="815" ht="1.5" customHeight="1">
      <c r="A815" s="161"/>
      <c r="B815" s="162"/>
      <c r="C815" s="163"/>
      <c r="D815" s="164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6"/>
    </row>
    <row r="816" ht="1.5" customHeight="1">
      <c r="A816" s="155"/>
      <c r="B816" s="156"/>
      <c r="C816" s="157"/>
      <c r="D816" s="158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60"/>
    </row>
    <row r="817" ht="1.5" customHeight="1">
      <c r="A817" s="161"/>
      <c r="B817" s="162"/>
      <c r="C817" s="163"/>
      <c r="D817" s="164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6"/>
    </row>
    <row r="818" ht="1.5" customHeight="1">
      <c r="A818" s="155"/>
      <c r="B818" s="156"/>
      <c r="C818" s="157"/>
      <c r="D818" s="158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60"/>
    </row>
    <row r="819" ht="1.5" customHeight="1">
      <c r="A819" s="161"/>
      <c r="B819" s="162"/>
      <c r="C819" s="163"/>
      <c r="D819" s="164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6"/>
    </row>
    <row r="820" ht="1.5" customHeight="1">
      <c r="A820" s="155"/>
      <c r="B820" s="156"/>
      <c r="C820" s="157"/>
      <c r="D820" s="158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60"/>
    </row>
    <row r="821" ht="1.5" customHeight="1">
      <c r="A821" s="161"/>
      <c r="B821" s="162"/>
      <c r="C821" s="163"/>
      <c r="D821" s="164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6"/>
    </row>
    <row r="822" ht="1.5" customHeight="1">
      <c r="A822" s="155"/>
      <c r="B822" s="156"/>
      <c r="C822" s="157"/>
      <c r="D822" s="158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60"/>
    </row>
    <row r="823" ht="1.5" customHeight="1">
      <c r="A823" s="161"/>
      <c r="B823" s="162"/>
      <c r="C823" s="163"/>
      <c r="D823" s="164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6"/>
    </row>
    <row r="824" ht="1.5" customHeight="1">
      <c r="A824" s="155"/>
      <c r="B824" s="156"/>
      <c r="C824" s="157"/>
      <c r="D824" s="158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60"/>
    </row>
    <row r="825" ht="1.5" customHeight="1">
      <c r="A825" s="161"/>
      <c r="B825" s="162"/>
      <c r="C825" s="163"/>
      <c r="D825" s="164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6"/>
    </row>
    <row r="826" ht="1.5" customHeight="1">
      <c r="A826" s="155"/>
      <c r="B826" s="156"/>
      <c r="C826" s="157"/>
      <c r="D826" s="158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60"/>
    </row>
    <row r="827" ht="1.5" customHeight="1">
      <c r="A827" s="161"/>
      <c r="B827" s="162"/>
      <c r="C827" s="163"/>
      <c r="D827" s="164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6"/>
    </row>
    <row r="828" ht="1.5" customHeight="1">
      <c r="A828" s="155"/>
      <c r="B828" s="156"/>
      <c r="C828" s="157"/>
      <c r="D828" s="158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60"/>
    </row>
    <row r="829" ht="1.5" customHeight="1">
      <c r="A829" s="161"/>
      <c r="B829" s="162"/>
      <c r="C829" s="163"/>
      <c r="D829" s="164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6"/>
    </row>
    <row r="830" ht="1.5" customHeight="1">
      <c r="A830" s="155"/>
      <c r="B830" s="156"/>
      <c r="C830" s="157"/>
      <c r="D830" s="158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60"/>
    </row>
    <row r="831" ht="1.5" customHeight="1">
      <c r="A831" s="161"/>
      <c r="B831" s="162"/>
      <c r="C831" s="163"/>
      <c r="D831" s="164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6"/>
    </row>
    <row r="832" ht="1.5" customHeight="1">
      <c r="A832" s="155"/>
      <c r="B832" s="156"/>
      <c r="C832" s="157"/>
      <c r="D832" s="158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60"/>
    </row>
    <row r="833" ht="1.5" customHeight="1">
      <c r="A833" s="161"/>
      <c r="B833" s="162"/>
      <c r="C833" s="163"/>
      <c r="D833" s="164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6"/>
    </row>
    <row r="834" ht="1.5" customHeight="1">
      <c r="A834" s="155"/>
      <c r="B834" s="156"/>
      <c r="C834" s="157"/>
      <c r="D834" s="158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60"/>
    </row>
    <row r="835" ht="1.5" customHeight="1">
      <c r="A835" s="161"/>
      <c r="B835" s="162"/>
      <c r="C835" s="163"/>
      <c r="D835" s="164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6"/>
    </row>
    <row r="836" ht="1.5" customHeight="1">
      <c r="A836" s="155"/>
      <c r="B836" s="156"/>
      <c r="C836" s="157"/>
      <c r="D836" s="158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60"/>
    </row>
    <row r="837" ht="1.5" customHeight="1">
      <c r="A837" s="161"/>
      <c r="B837" s="162"/>
      <c r="C837" s="163"/>
      <c r="D837" s="164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6"/>
    </row>
    <row r="838" ht="1.5" customHeight="1">
      <c r="A838" s="155"/>
      <c r="B838" s="156"/>
      <c r="C838" s="157"/>
      <c r="D838" s="158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60"/>
    </row>
    <row r="839" ht="1.5" customHeight="1">
      <c r="A839" s="161"/>
      <c r="B839" s="162"/>
      <c r="C839" s="163"/>
      <c r="D839" s="164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6"/>
    </row>
    <row r="840" ht="1.5" customHeight="1">
      <c r="A840" s="155"/>
      <c r="B840" s="156"/>
      <c r="C840" s="157"/>
      <c r="D840" s="158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60"/>
    </row>
    <row r="841" ht="1.5" customHeight="1">
      <c r="A841" s="161"/>
      <c r="B841" s="162"/>
      <c r="C841" s="163"/>
      <c r="D841" s="164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6"/>
    </row>
    <row r="842" ht="1.5" customHeight="1">
      <c r="A842" s="155"/>
      <c r="B842" s="156"/>
      <c r="C842" s="157"/>
      <c r="D842" s="158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60"/>
    </row>
    <row r="843" ht="1.5" customHeight="1">
      <c r="A843" s="161"/>
      <c r="B843" s="162"/>
      <c r="C843" s="163"/>
      <c r="D843" s="164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6"/>
    </row>
    <row r="844" ht="1.5" customHeight="1">
      <c r="A844" s="155"/>
      <c r="B844" s="156"/>
      <c r="C844" s="157"/>
      <c r="D844" s="158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60"/>
    </row>
    <row r="845" ht="1.5" customHeight="1">
      <c r="A845" s="161"/>
      <c r="B845" s="162"/>
      <c r="C845" s="163"/>
      <c r="D845" s="164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6"/>
    </row>
    <row r="846" ht="1.5" customHeight="1">
      <c r="A846" s="155"/>
      <c r="B846" s="156"/>
      <c r="C846" s="157"/>
      <c r="D846" s="158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60"/>
    </row>
    <row r="847" ht="1.5" customHeight="1">
      <c r="A847" s="161"/>
      <c r="B847" s="162"/>
      <c r="C847" s="163"/>
      <c r="D847" s="164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6"/>
    </row>
    <row r="848" ht="1.5" customHeight="1">
      <c r="A848" s="155"/>
      <c r="B848" s="156"/>
      <c r="C848" s="157"/>
      <c r="D848" s="158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60"/>
    </row>
    <row r="849" ht="1.5" customHeight="1">
      <c r="A849" s="161"/>
      <c r="B849" s="162"/>
      <c r="C849" s="163"/>
      <c r="D849" s="164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6"/>
    </row>
    <row r="850" ht="1.5" customHeight="1">
      <c r="A850" s="155"/>
      <c r="B850" s="156"/>
      <c r="C850" s="157"/>
      <c r="D850" s="158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60"/>
    </row>
    <row r="851" ht="1.5" customHeight="1">
      <c r="A851" s="161"/>
      <c r="B851" s="162"/>
      <c r="C851" s="163"/>
      <c r="D851" s="164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6"/>
    </row>
    <row r="852" ht="1.5" customHeight="1">
      <c r="A852" s="155"/>
      <c r="B852" s="156"/>
      <c r="C852" s="157"/>
      <c r="D852" s="158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60"/>
    </row>
    <row r="853" ht="1.5" customHeight="1">
      <c r="A853" s="161"/>
      <c r="B853" s="162"/>
      <c r="C853" s="163"/>
      <c r="D853" s="164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6"/>
    </row>
    <row r="854" ht="1.5" customHeight="1">
      <c r="A854" s="155"/>
      <c r="B854" s="156"/>
      <c r="C854" s="157"/>
      <c r="D854" s="158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60"/>
    </row>
    <row r="855" ht="1.5" customHeight="1">
      <c r="A855" s="161"/>
      <c r="B855" s="162"/>
      <c r="C855" s="163"/>
      <c r="D855" s="164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6"/>
    </row>
    <row r="856" ht="1.5" customHeight="1">
      <c r="A856" s="155"/>
      <c r="B856" s="156"/>
      <c r="C856" s="157"/>
      <c r="D856" s="158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60"/>
    </row>
    <row r="857" ht="1.5" customHeight="1">
      <c r="A857" s="161"/>
      <c r="B857" s="162"/>
      <c r="C857" s="163"/>
      <c r="D857" s="164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6"/>
    </row>
    <row r="858" ht="1.5" customHeight="1">
      <c r="A858" s="155"/>
      <c r="B858" s="156"/>
      <c r="C858" s="157"/>
      <c r="D858" s="158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60"/>
    </row>
    <row r="859" ht="1.5" customHeight="1">
      <c r="A859" s="161"/>
      <c r="B859" s="162"/>
      <c r="C859" s="163"/>
      <c r="D859" s="164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6"/>
    </row>
    <row r="860" ht="1.5" customHeight="1">
      <c r="A860" s="155"/>
      <c r="B860" s="156"/>
      <c r="C860" s="157"/>
      <c r="D860" s="158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60"/>
    </row>
    <row r="861" ht="1.5" customHeight="1">
      <c r="A861" s="161"/>
      <c r="B861" s="162"/>
      <c r="C861" s="163"/>
      <c r="D861" s="164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6"/>
    </row>
    <row r="862" ht="1.5" customHeight="1">
      <c r="A862" s="155"/>
      <c r="B862" s="156"/>
      <c r="C862" s="157"/>
      <c r="D862" s="158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60"/>
    </row>
    <row r="863" ht="1.5" customHeight="1">
      <c r="A863" s="161"/>
      <c r="B863" s="162"/>
      <c r="C863" s="163"/>
      <c r="D863" s="164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6"/>
    </row>
    <row r="864" ht="1.5" customHeight="1">
      <c r="A864" s="155"/>
      <c r="B864" s="156"/>
      <c r="C864" s="157"/>
      <c r="D864" s="158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60"/>
    </row>
    <row r="865" ht="1.5" customHeight="1">
      <c r="A865" s="161"/>
      <c r="B865" s="162"/>
      <c r="C865" s="163"/>
      <c r="D865" s="164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6"/>
    </row>
    <row r="866" ht="1.5" customHeight="1">
      <c r="A866" s="155"/>
      <c r="B866" s="156"/>
      <c r="C866" s="157"/>
      <c r="D866" s="158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60"/>
    </row>
    <row r="867" ht="1.5" customHeight="1">
      <c r="A867" s="161"/>
      <c r="B867" s="162"/>
      <c r="C867" s="163"/>
      <c r="D867" s="164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6"/>
    </row>
    <row r="868" ht="1.5" customHeight="1">
      <c r="A868" s="155"/>
      <c r="B868" s="156"/>
      <c r="C868" s="157"/>
      <c r="D868" s="158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60"/>
    </row>
    <row r="869" ht="1.5" customHeight="1">
      <c r="A869" s="161"/>
      <c r="B869" s="162"/>
      <c r="C869" s="163"/>
      <c r="D869" s="164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6"/>
    </row>
    <row r="870" ht="1.5" customHeight="1">
      <c r="A870" s="155"/>
      <c r="B870" s="156"/>
      <c r="C870" s="157"/>
      <c r="D870" s="158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60"/>
    </row>
    <row r="871" ht="1.5" customHeight="1">
      <c r="A871" s="161"/>
      <c r="B871" s="162"/>
      <c r="C871" s="163"/>
      <c r="D871" s="164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6"/>
    </row>
    <row r="872" ht="1.5" customHeight="1">
      <c r="A872" s="155"/>
      <c r="B872" s="156"/>
      <c r="C872" s="157"/>
      <c r="D872" s="158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60"/>
    </row>
    <row r="873" ht="1.5" customHeight="1">
      <c r="A873" s="161"/>
      <c r="B873" s="162"/>
      <c r="C873" s="163"/>
      <c r="D873" s="164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6"/>
    </row>
    <row r="874" ht="1.5" customHeight="1">
      <c r="A874" s="155"/>
      <c r="B874" s="156"/>
      <c r="C874" s="157"/>
      <c r="D874" s="158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60"/>
    </row>
    <row r="875" ht="1.5" customHeight="1">
      <c r="A875" s="161"/>
      <c r="B875" s="162"/>
      <c r="C875" s="163"/>
      <c r="D875" s="164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6"/>
    </row>
    <row r="876" ht="1.5" customHeight="1">
      <c r="A876" s="155"/>
      <c r="B876" s="156"/>
      <c r="C876" s="157"/>
      <c r="D876" s="158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60"/>
    </row>
    <row r="877" ht="1.5" customHeight="1">
      <c r="A877" s="161"/>
      <c r="B877" s="162"/>
      <c r="C877" s="163"/>
      <c r="D877" s="164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6"/>
    </row>
    <row r="878" ht="1.5" customHeight="1">
      <c r="A878" s="155"/>
      <c r="B878" s="156"/>
      <c r="C878" s="157"/>
      <c r="D878" s="158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60"/>
    </row>
    <row r="879" ht="1.5" customHeight="1">
      <c r="A879" s="161"/>
      <c r="B879" s="162"/>
      <c r="C879" s="163"/>
      <c r="D879" s="164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6"/>
    </row>
    <row r="880" ht="1.5" customHeight="1">
      <c r="A880" s="155"/>
      <c r="B880" s="156"/>
      <c r="C880" s="157"/>
      <c r="D880" s="158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60"/>
    </row>
    <row r="881" ht="1.5" customHeight="1">
      <c r="A881" s="161"/>
      <c r="B881" s="162"/>
      <c r="C881" s="163"/>
      <c r="D881" s="164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6"/>
    </row>
    <row r="882" ht="1.5" customHeight="1">
      <c r="A882" s="155"/>
      <c r="B882" s="156"/>
      <c r="C882" s="157"/>
      <c r="D882" s="158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60"/>
    </row>
    <row r="883" ht="1.5" customHeight="1">
      <c r="A883" s="161"/>
      <c r="B883" s="162"/>
      <c r="C883" s="163"/>
      <c r="D883" s="164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6"/>
    </row>
    <row r="884" ht="1.5" customHeight="1">
      <c r="A884" s="155"/>
      <c r="B884" s="156"/>
      <c r="C884" s="157"/>
      <c r="D884" s="158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60"/>
    </row>
    <row r="885" ht="1.5" customHeight="1">
      <c r="A885" s="161"/>
      <c r="B885" s="162"/>
      <c r="C885" s="163"/>
      <c r="D885" s="164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6"/>
    </row>
    <row r="886" ht="1.5" customHeight="1">
      <c r="A886" s="155"/>
      <c r="B886" s="156"/>
      <c r="C886" s="157"/>
      <c r="D886" s="158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60"/>
    </row>
    <row r="887" ht="1.5" customHeight="1">
      <c r="A887" s="161"/>
      <c r="B887" s="162"/>
      <c r="C887" s="163"/>
      <c r="D887" s="164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6"/>
    </row>
    <row r="888" ht="1.5" customHeight="1">
      <c r="A888" s="155"/>
      <c r="B888" s="156"/>
      <c r="C888" s="157"/>
      <c r="D888" s="158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60"/>
    </row>
    <row r="889" ht="1.5" customHeight="1">
      <c r="A889" s="161"/>
      <c r="B889" s="162"/>
      <c r="C889" s="163"/>
      <c r="D889" s="164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6"/>
    </row>
    <row r="890" ht="1.5" customHeight="1">
      <c r="A890" s="155"/>
      <c r="B890" s="156"/>
      <c r="C890" s="157"/>
      <c r="D890" s="158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60"/>
    </row>
    <row r="891" ht="1.5" customHeight="1">
      <c r="A891" s="161"/>
      <c r="B891" s="162"/>
      <c r="C891" s="163"/>
      <c r="D891" s="164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6"/>
    </row>
    <row r="892" ht="1.5" customHeight="1">
      <c r="A892" s="155"/>
      <c r="B892" s="156"/>
      <c r="C892" s="157"/>
      <c r="D892" s="158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60"/>
    </row>
    <row r="893" ht="1.5" customHeight="1">
      <c r="A893" s="161"/>
      <c r="B893" s="162"/>
      <c r="C893" s="163"/>
      <c r="D893" s="164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6"/>
    </row>
    <row r="894" ht="1.5" customHeight="1">
      <c r="A894" s="155"/>
      <c r="B894" s="156"/>
      <c r="C894" s="157"/>
      <c r="D894" s="158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60"/>
    </row>
    <row r="895" ht="1.5" customHeight="1">
      <c r="A895" s="161"/>
      <c r="B895" s="162"/>
      <c r="C895" s="163"/>
      <c r="D895" s="164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6"/>
    </row>
    <row r="896" ht="1.5" customHeight="1">
      <c r="A896" s="155"/>
      <c r="B896" s="156"/>
      <c r="C896" s="157"/>
      <c r="D896" s="158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60"/>
    </row>
    <row r="897" ht="1.5" customHeight="1">
      <c r="A897" s="161"/>
      <c r="B897" s="162"/>
      <c r="C897" s="163"/>
      <c r="D897" s="164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6"/>
    </row>
    <row r="898" ht="1.5" customHeight="1">
      <c r="A898" s="155"/>
      <c r="B898" s="156"/>
      <c r="C898" s="157"/>
      <c r="D898" s="158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60"/>
    </row>
    <row r="899" ht="1.5" customHeight="1">
      <c r="A899" s="161"/>
      <c r="B899" s="162"/>
      <c r="C899" s="163"/>
      <c r="D899" s="164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6"/>
    </row>
    <row r="900" ht="1.5" customHeight="1">
      <c r="A900" s="155"/>
      <c r="B900" s="156"/>
      <c r="C900" s="157"/>
      <c r="D900" s="158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60"/>
    </row>
    <row r="901" ht="1.5" customHeight="1">
      <c r="A901" s="161"/>
      <c r="B901" s="162"/>
      <c r="C901" s="163"/>
      <c r="D901" s="164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6"/>
    </row>
    <row r="902" ht="1.5" customHeight="1">
      <c r="A902" s="155"/>
      <c r="B902" s="156"/>
      <c r="C902" s="157"/>
      <c r="D902" s="158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60"/>
    </row>
    <row r="903" ht="1.5" customHeight="1">
      <c r="A903" s="161"/>
      <c r="B903" s="162"/>
      <c r="C903" s="163"/>
      <c r="D903" s="164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6"/>
    </row>
    <row r="904" ht="1.5" customHeight="1">
      <c r="A904" s="155"/>
      <c r="B904" s="156"/>
      <c r="C904" s="157"/>
      <c r="D904" s="158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60"/>
    </row>
    <row r="905" ht="1.5" customHeight="1">
      <c r="A905" s="161"/>
      <c r="B905" s="162"/>
      <c r="C905" s="163"/>
      <c r="D905" s="164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6"/>
    </row>
    <row r="906" ht="1.5" customHeight="1">
      <c r="A906" s="155"/>
      <c r="B906" s="156"/>
      <c r="C906" s="157"/>
      <c r="D906" s="158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60"/>
    </row>
    <row r="907" ht="1.5" customHeight="1">
      <c r="A907" s="161"/>
      <c r="B907" s="162"/>
      <c r="C907" s="163"/>
      <c r="D907" s="164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6"/>
    </row>
    <row r="908" ht="1.5" customHeight="1">
      <c r="A908" s="155"/>
      <c r="B908" s="156"/>
      <c r="C908" s="157"/>
      <c r="D908" s="158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60"/>
    </row>
    <row r="909" ht="1.5" customHeight="1">
      <c r="A909" s="161"/>
      <c r="B909" s="162"/>
      <c r="C909" s="163"/>
      <c r="D909" s="164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6"/>
    </row>
    <row r="910" ht="1.5" customHeight="1">
      <c r="A910" s="155"/>
      <c r="B910" s="156"/>
      <c r="C910" s="157"/>
      <c r="D910" s="158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60"/>
    </row>
    <row r="911" ht="1.5" customHeight="1">
      <c r="A911" s="161"/>
      <c r="B911" s="162"/>
      <c r="C911" s="163"/>
      <c r="D911" s="164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6"/>
    </row>
    <row r="912" ht="1.5" customHeight="1">
      <c r="A912" s="155"/>
      <c r="B912" s="156"/>
      <c r="C912" s="157"/>
      <c r="D912" s="158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60"/>
    </row>
    <row r="913" ht="1.5" customHeight="1">
      <c r="A913" s="161"/>
      <c r="B913" s="162"/>
      <c r="C913" s="163"/>
      <c r="D913" s="164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6"/>
    </row>
    <row r="914" ht="1.5" customHeight="1">
      <c r="A914" s="155"/>
      <c r="B914" s="156"/>
      <c r="C914" s="157"/>
      <c r="D914" s="158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60"/>
    </row>
    <row r="915" ht="1.5" customHeight="1">
      <c r="A915" s="161"/>
      <c r="B915" s="162"/>
      <c r="C915" s="163"/>
      <c r="D915" s="164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6"/>
    </row>
    <row r="916" ht="1.5" customHeight="1">
      <c r="A916" s="155"/>
      <c r="B916" s="156"/>
      <c r="C916" s="157"/>
      <c r="D916" s="158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60"/>
    </row>
    <row r="917" ht="1.5" customHeight="1">
      <c r="A917" s="161"/>
      <c r="B917" s="162"/>
      <c r="C917" s="163"/>
      <c r="D917" s="164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6"/>
    </row>
    <row r="918" ht="1.5" customHeight="1">
      <c r="A918" s="155"/>
      <c r="B918" s="156"/>
      <c r="C918" s="157"/>
      <c r="D918" s="158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60"/>
    </row>
    <row r="919" ht="1.5" customHeight="1">
      <c r="A919" s="161"/>
      <c r="B919" s="162"/>
      <c r="C919" s="163"/>
      <c r="D919" s="164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6"/>
    </row>
    <row r="920" ht="1.5" customHeight="1">
      <c r="A920" s="155"/>
      <c r="B920" s="156"/>
      <c r="C920" s="157"/>
      <c r="D920" s="158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60"/>
    </row>
    <row r="921" ht="1.5" customHeight="1">
      <c r="A921" s="161"/>
      <c r="B921" s="162"/>
      <c r="C921" s="163"/>
      <c r="D921" s="164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6"/>
    </row>
    <row r="922" ht="1.5" customHeight="1">
      <c r="A922" s="155"/>
      <c r="B922" s="156"/>
      <c r="C922" s="157"/>
      <c r="D922" s="158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60"/>
    </row>
    <row r="923" ht="1.5" customHeight="1">
      <c r="A923" s="161"/>
      <c r="B923" s="162"/>
      <c r="C923" s="163"/>
      <c r="D923" s="164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6"/>
    </row>
    <row r="924" ht="1.5" customHeight="1">
      <c r="A924" s="155"/>
      <c r="B924" s="156"/>
      <c r="C924" s="157"/>
      <c r="D924" s="158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60"/>
    </row>
    <row r="925" ht="1.5" customHeight="1">
      <c r="A925" s="161"/>
      <c r="B925" s="162"/>
      <c r="C925" s="163"/>
      <c r="D925" s="164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6"/>
    </row>
    <row r="926" ht="1.5" customHeight="1">
      <c r="A926" s="155"/>
      <c r="B926" s="156"/>
      <c r="C926" s="157"/>
      <c r="D926" s="158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60"/>
    </row>
    <row r="927" ht="1.5" customHeight="1">
      <c r="A927" s="161"/>
      <c r="B927" s="162"/>
      <c r="C927" s="163"/>
      <c r="D927" s="164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6"/>
    </row>
    <row r="928" ht="1.5" customHeight="1">
      <c r="A928" s="155"/>
      <c r="B928" s="156"/>
      <c r="C928" s="157"/>
      <c r="D928" s="158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60"/>
    </row>
    <row r="929" ht="1.5" customHeight="1">
      <c r="A929" s="161"/>
      <c r="B929" s="162"/>
      <c r="C929" s="163"/>
      <c r="D929" s="164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6"/>
    </row>
    <row r="930" ht="1.5" customHeight="1">
      <c r="A930" s="155"/>
      <c r="B930" s="156"/>
      <c r="C930" s="157"/>
      <c r="D930" s="158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60"/>
    </row>
    <row r="931" ht="1.5" customHeight="1">
      <c r="A931" s="161"/>
      <c r="B931" s="162"/>
      <c r="C931" s="163"/>
      <c r="D931" s="164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6"/>
    </row>
    <row r="932" ht="1.5" customHeight="1">
      <c r="A932" s="155"/>
      <c r="B932" s="156"/>
      <c r="C932" s="157"/>
      <c r="D932" s="158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60"/>
    </row>
    <row r="933" ht="1.5" customHeight="1">
      <c r="A933" s="161"/>
      <c r="B933" s="162"/>
      <c r="C933" s="163"/>
      <c r="D933" s="164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6"/>
    </row>
    <row r="934" ht="1.5" customHeight="1">
      <c r="A934" s="155"/>
      <c r="B934" s="156"/>
      <c r="C934" s="157"/>
      <c r="D934" s="158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60"/>
    </row>
    <row r="935" ht="1.5" customHeight="1">
      <c r="A935" s="161"/>
      <c r="B935" s="162"/>
      <c r="C935" s="163"/>
      <c r="D935" s="164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6"/>
    </row>
    <row r="936" ht="1.5" customHeight="1">
      <c r="A936" s="155"/>
      <c r="B936" s="156"/>
      <c r="C936" s="157"/>
      <c r="D936" s="158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60"/>
    </row>
    <row r="937" ht="1.5" customHeight="1">
      <c r="A937" s="161"/>
      <c r="B937" s="162"/>
      <c r="C937" s="163"/>
      <c r="D937" s="164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6"/>
    </row>
    <row r="938" ht="1.5" customHeight="1">
      <c r="A938" s="155"/>
      <c r="B938" s="156"/>
      <c r="C938" s="157"/>
      <c r="D938" s="158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60"/>
    </row>
    <row r="939" ht="1.5" customHeight="1">
      <c r="A939" s="161"/>
      <c r="B939" s="162"/>
      <c r="C939" s="163"/>
      <c r="D939" s="164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6"/>
    </row>
    <row r="940" ht="1.5" customHeight="1">
      <c r="A940" s="155"/>
      <c r="B940" s="156"/>
      <c r="C940" s="157"/>
      <c r="D940" s="158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60"/>
    </row>
    <row r="941" ht="1.5" customHeight="1">
      <c r="A941" s="161"/>
      <c r="B941" s="162"/>
      <c r="C941" s="163"/>
      <c r="D941" s="164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6"/>
    </row>
    <row r="942" ht="1.5" customHeight="1">
      <c r="A942" s="155"/>
      <c r="B942" s="156"/>
      <c r="C942" s="157"/>
      <c r="D942" s="158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60"/>
    </row>
    <row r="943" ht="1.5" customHeight="1">
      <c r="A943" s="161"/>
      <c r="B943" s="162"/>
      <c r="C943" s="163"/>
      <c r="D943" s="164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6"/>
    </row>
    <row r="944" ht="1.5" customHeight="1">
      <c r="A944" s="155"/>
      <c r="B944" s="156"/>
      <c r="C944" s="157"/>
      <c r="D944" s="158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60"/>
    </row>
    <row r="945" ht="1.5" customHeight="1">
      <c r="A945" s="161"/>
      <c r="B945" s="162"/>
      <c r="C945" s="163"/>
      <c r="D945" s="164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6"/>
    </row>
    <row r="946" ht="1.5" customHeight="1">
      <c r="A946" s="155"/>
      <c r="B946" s="156"/>
      <c r="C946" s="157"/>
      <c r="D946" s="158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60"/>
    </row>
    <row r="947" ht="1.5" customHeight="1">
      <c r="A947" s="161"/>
      <c r="B947" s="162"/>
      <c r="C947" s="163"/>
      <c r="D947" s="164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6"/>
    </row>
    <row r="948" ht="1.5" customHeight="1">
      <c r="A948" s="155"/>
      <c r="B948" s="156"/>
      <c r="C948" s="157"/>
      <c r="D948" s="158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60"/>
    </row>
    <row r="949" ht="1.5" customHeight="1">
      <c r="A949" s="161"/>
      <c r="B949" s="162"/>
      <c r="C949" s="163"/>
      <c r="D949" s="164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6"/>
    </row>
    <row r="950" ht="1.5" customHeight="1">
      <c r="A950" s="155"/>
      <c r="B950" s="156"/>
      <c r="C950" s="157"/>
      <c r="D950" s="158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60"/>
    </row>
    <row r="951" ht="1.5" customHeight="1">
      <c r="A951" s="161"/>
      <c r="B951" s="162"/>
      <c r="C951" s="163"/>
      <c r="D951" s="164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6"/>
    </row>
    <row r="952" ht="1.5" customHeight="1">
      <c r="A952" s="155"/>
      <c r="B952" s="156"/>
      <c r="C952" s="157"/>
      <c r="D952" s="158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60"/>
    </row>
    <row r="953" ht="1.5" customHeight="1">
      <c r="A953" s="161"/>
      <c r="B953" s="162"/>
      <c r="C953" s="163"/>
      <c r="D953" s="164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6"/>
    </row>
    <row r="954" ht="1.5" customHeight="1">
      <c r="A954" s="155"/>
      <c r="B954" s="156"/>
      <c r="C954" s="157"/>
      <c r="D954" s="158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60"/>
    </row>
    <row r="955" ht="1.5" customHeight="1">
      <c r="A955" s="161"/>
      <c r="B955" s="162"/>
      <c r="C955" s="163"/>
      <c r="D955" s="164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6"/>
    </row>
    <row r="956" ht="1.5" customHeight="1">
      <c r="A956" s="155"/>
      <c r="B956" s="156"/>
      <c r="C956" s="157"/>
      <c r="D956" s="158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60"/>
    </row>
    <row r="957" ht="1.5" customHeight="1">
      <c r="A957" s="161"/>
      <c r="B957" s="162"/>
      <c r="C957" s="163"/>
      <c r="D957" s="164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6"/>
    </row>
    <row r="958" ht="1.5" customHeight="1">
      <c r="A958" s="155"/>
      <c r="B958" s="156"/>
      <c r="C958" s="157"/>
      <c r="D958" s="158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60"/>
    </row>
    <row r="959" ht="1.5" customHeight="1">
      <c r="A959" s="161"/>
      <c r="B959" s="162"/>
      <c r="C959" s="163"/>
      <c r="D959" s="164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6"/>
    </row>
    <row r="960" ht="1.5" customHeight="1">
      <c r="A960" s="155"/>
      <c r="B960" s="156"/>
      <c r="C960" s="157"/>
      <c r="D960" s="158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60"/>
    </row>
    <row r="961" ht="1.5" customHeight="1">
      <c r="A961" s="161"/>
      <c r="B961" s="162"/>
      <c r="C961" s="163"/>
      <c r="D961" s="164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6"/>
    </row>
    <row r="962" ht="1.5" customHeight="1">
      <c r="A962" s="155"/>
      <c r="B962" s="156"/>
      <c r="C962" s="157"/>
      <c r="D962" s="158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60"/>
    </row>
    <row r="963" ht="1.5" customHeight="1">
      <c r="A963" s="161"/>
      <c r="B963" s="162"/>
      <c r="C963" s="163"/>
      <c r="D963" s="164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6"/>
    </row>
    <row r="964" ht="1.5" customHeight="1">
      <c r="A964" s="155"/>
      <c r="B964" s="156"/>
      <c r="C964" s="157"/>
      <c r="D964" s="158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60"/>
    </row>
    <row r="965" ht="1.5" customHeight="1">
      <c r="A965" s="161"/>
      <c r="B965" s="162"/>
      <c r="C965" s="163"/>
      <c r="D965" s="164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6"/>
    </row>
    <row r="966" ht="1.5" customHeight="1">
      <c r="A966" s="155"/>
      <c r="B966" s="156"/>
      <c r="C966" s="157"/>
      <c r="D966" s="158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60"/>
    </row>
    <row r="967" ht="1.5" customHeight="1">
      <c r="A967" s="161"/>
      <c r="B967" s="162"/>
      <c r="C967" s="163"/>
      <c r="D967" s="164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6"/>
    </row>
    <row r="968" ht="1.5" customHeight="1">
      <c r="A968" s="155"/>
      <c r="B968" s="156"/>
      <c r="C968" s="157"/>
      <c r="D968" s="158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60"/>
    </row>
    <row r="969" ht="1.5" customHeight="1">
      <c r="A969" s="161"/>
      <c r="B969" s="162"/>
      <c r="C969" s="163"/>
      <c r="D969" s="164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6"/>
    </row>
    <row r="970" ht="1.5" customHeight="1">
      <c r="A970" s="155"/>
      <c r="B970" s="156"/>
      <c r="C970" s="157"/>
      <c r="D970" s="158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60"/>
    </row>
    <row r="971" ht="1.5" customHeight="1">
      <c r="A971" s="161"/>
      <c r="B971" s="162"/>
      <c r="C971" s="163"/>
      <c r="D971" s="164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6"/>
    </row>
    <row r="972" ht="1.5" customHeight="1">
      <c r="A972" s="155"/>
      <c r="B972" s="156"/>
      <c r="C972" s="157"/>
      <c r="D972" s="158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60"/>
    </row>
    <row r="973" ht="1.5" customHeight="1">
      <c r="A973" s="161"/>
      <c r="B973" s="162"/>
      <c r="C973" s="163"/>
      <c r="D973" s="164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6"/>
    </row>
    <row r="974" ht="1.5" customHeight="1">
      <c r="A974" s="155"/>
      <c r="B974" s="156"/>
      <c r="C974" s="157"/>
      <c r="D974" s="158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60"/>
    </row>
    <row r="975" ht="1.5" customHeight="1">
      <c r="A975" s="161"/>
      <c r="B975" s="162"/>
      <c r="C975" s="163"/>
      <c r="D975" s="164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6"/>
    </row>
    <row r="976" ht="1.5" customHeight="1">
      <c r="A976" s="155"/>
      <c r="B976" s="156"/>
      <c r="C976" s="157"/>
      <c r="D976" s="158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60"/>
    </row>
    <row r="977" ht="1.5" customHeight="1">
      <c r="A977" s="161"/>
      <c r="B977" s="162"/>
      <c r="C977" s="163"/>
      <c r="D977" s="164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6"/>
    </row>
    <row r="978" ht="1.5" customHeight="1">
      <c r="A978" s="155"/>
      <c r="B978" s="156"/>
      <c r="C978" s="157"/>
      <c r="D978" s="158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60"/>
    </row>
    <row r="979" ht="1.5" customHeight="1">
      <c r="A979" s="161"/>
      <c r="B979" s="162"/>
      <c r="C979" s="163"/>
      <c r="D979" s="164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6"/>
    </row>
    <row r="980" ht="1.5" customHeight="1">
      <c r="A980" s="155"/>
      <c r="B980" s="156"/>
      <c r="C980" s="157"/>
      <c r="D980" s="158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60"/>
    </row>
    <row r="981" ht="1.5" customHeight="1">
      <c r="A981" s="161"/>
      <c r="B981" s="162"/>
      <c r="C981" s="163"/>
      <c r="D981" s="164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6"/>
    </row>
    <row r="982" ht="1.5" customHeight="1">
      <c r="A982" s="155"/>
      <c r="B982" s="156"/>
      <c r="C982" s="157"/>
      <c r="D982" s="158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60"/>
    </row>
    <row r="983" ht="1.5" customHeight="1">
      <c r="A983" s="161"/>
      <c r="B983" s="162"/>
      <c r="C983" s="163"/>
      <c r="D983" s="164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6"/>
    </row>
    <row r="984" ht="1.5" customHeight="1">
      <c r="A984" s="155"/>
      <c r="B984" s="156"/>
      <c r="C984" s="157"/>
      <c r="D984" s="158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60"/>
    </row>
    <row r="985" ht="1.5" customHeight="1">
      <c r="A985" s="161"/>
      <c r="B985" s="162"/>
      <c r="C985" s="163"/>
      <c r="D985" s="164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6"/>
    </row>
    <row r="986" ht="1.5" customHeight="1">
      <c r="A986" s="155"/>
      <c r="B986" s="156"/>
      <c r="C986" s="157"/>
      <c r="D986" s="158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60"/>
    </row>
    <row r="987" ht="1.5" customHeight="1">
      <c r="A987" s="161"/>
      <c r="B987" s="162"/>
      <c r="C987" s="163"/>
      <c r="D987" s="164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6"/>
    </row>
    <row r="988" ht="1.5" customHeight="1">
      <c r="A988" s="155"/>
      <c r="B988" s="156"/>
      <c r="C988" s="157"/>
      <c r="D988" s="158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60"/>
    </row>
    <row r="989" ht="1.5" customHeight="1">
      <c r="A989" s="161"/>
      <c r="B989" s="162"/>
      <c r="C989" s="163"/>
      <c r="D989" s="164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6"/>
    </row>
    <row r="990" ht="1.5" customHeight="1">
      <c r="A990" s="155"/>
      <c r="B990" s="156"/>
      <c r="C990" s="157"/>
      <c r="D990" s="158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60"/>
    </row>
    <row r="991" ht="1.5" customHeight="1">
      <c r="A991" s="161"/>
      <c r="B991" s="162"/>
      <c r="C991" s="163"/>
      <c r="D991" s="164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6"/>
    </row>
    <row r="992" ht="1.5" customHeight="1">
      <c r="A992" s="155"/>
      <c r="B992" s="156"/>
      <c r="C992" s="157"/>
      <c r="D992" s="158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60"/>
    </row>
    <row r="993" ht="1.5" customHeight="1">
      <c r="A993" s="161"/>
      <c r="B993" s="162"/>
      <c r="C993" s="163"/>
      <c r="D993" s="164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6"/>
    </row>
    <row r="994" ht="1.5" customHeight="1">
      <c r="A994" s="155"/>
      <c r="B994" s="156"/>
      <c r="C994" s="157"/>
      <c r="D994" s="158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60"/>
    </row>
    <row r="995" ht="1.5" customHeight="1">
      <c r="A995" s="161"/>
      <c r="B995" s="162"/>
      <c r="C995" s="163"/>
      <c r="D995" s="164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6"/>
    </row>
    <row r="996" ht="1.5" customHeight="1">
      <c r="A996" s="155"/>
      <c r="B996" s="156"/>
      <c r="C996" s="157"/>
      <c r="D996" s="158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60"/>
    </row>
    <row r="997" ht="1.5" customHeight="1">
      <c r="A997" s="161"/>
      <c r="B997" s="162"/>
      <c r="C997" s="163"/>
      <c r="D997" s="164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6"/>
    </row>
    <row r="998" ht="1.5" customHeight="1">
      <c r="A998" s="155"/>
      <c r="B998" s="156"/>
      <c r="C998" s="157"/>
      <c r="D998" s="158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60"/>
    </row>
    <row r="999" ht="1.5" customHeight="1">
      <c r="A999" s="161"/>
      <c r="B999" s="162"/>
      <c r="C999" s="163"/>
      <c r="D999" s="164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6"/>
    </row>
    <row r="1000" ht="1.5" customHeight="1">
      <c r="A1000" s="155"/>
      <c r="B1000" s="156"/>
      <c r="C1000" s="157"/>
      <c r="D1000" s="158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60"/>
    </row>
    <row r="1001" ht="1.5" customHeight="1">
      <c r="A1001" s="161"/>
      <c r="B1001" s="162"/>
      <c r="C1001" s="163"/>
      <c r="D1001" s="164"/>
      <c r="E1001" s="165"/>
      <c r="F1001" s="165"/>
      <c r="G1001" s="165"/>
      <c r="H1001" s="165"/>
      <c r="I1001" s="165"/>
      <c r="J1001" s="165"/>
      <c r="K1001" s="165"/>
      <c r="L1001" s="165"/>
      <c r="M1001" s="165"/>
      <c r="N1001" s="165"/>
      <c r="O1001" s="166"/>
    </row>
    <row r="1002" ht="1.5" customHeight="1">
      <c r="A1002" s="155"/>
      <c r="B1002" s="156"/>
      <c r="C1002" s="157"/>
      <c r="D1002" s="158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60"/>
    </row>
    <row r="1003" ht="1.5" customHeight="1">
      <c r="A1003" s="161"/>
      <c r="B1003" s="162"/>
      <c r="C1003" s="163"/>
      <c r="D1003" s="164"/>
      <c r="E1003" s="165"/>
      <c r="F1003" s="165"/>
      <c r="G1003" s="165"/>
      <c r="H1003" s="165"/>
      <c r="I1003" s="165"/>
      <c r="J1003" s="165"/>
      <c r="K1003" s="165"/>
      <c r="L1003" s="165"/>
      <c r="M1003" s="165"/>
      <c r="N1003" s="165"/>
      <c r="O1003" s="166"/>
    </row>
    <row r="1004" ht="1.5" customHeight="1">
      <c r="A1004" s="155"/>
      <c r="B1004" s="156"/>
      <c r="C1004" s="157"/>
      <c r="D1004" s="158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159"/>
      <c r="O1004" s="160"/>
    </row>
    <row r="1005" ht="1.5" customHeight="1">
      <c r="A1005" s="161"/>
      <c r="B1005" s="162"/>
      <c r="C1005" s="163"/>
      <c r="D1005" s="164"/>
      <c r="E1005" s="165"/>
      <c r="F1005" s="165"/>
      <c r="G1005" s="165"/>
      <c r="H1005" s="165"/>
      <c r="I1005" s="165"/>
      <c r="J1005" s="165"/>
      <c r="K1005" s="165"/>
      <c r="L1005" s="165"/>
      <c r="M1005" s="165"/>
      <c r="N1005" s="165"/>
      <c r="O1005" s="166"/>
    </row>
    <row r="1006" ht="1.5" customHeight="1">
      <c r="A1006" s="155"/>
      <c r="B1006" s="156"/>
      <c r="C1006" s="157"/>
      <c r="D1006" s="158"/>
      <c r="E1006" s="159"/>
      <c r="F1006" s="159"/>
      <c r="G1006" s="159"/>
      <c r="H1006" s="159"/>
      <c r="I1006" s="159"/>
      <c r="J1006" s="159"/>
      <c r="K1006" s="159"/>
      <c r="L1006" s="159"/>
      <c r="M1006" s="159"/>
      <c r="N1006" s="159"/>
      <c r="O1006" s="160"/>
    </row>
    <row r="1007" ht="1.5" customHeight="1">
      <c r="A1007" s="161"/>
      <c r="B1007" s="162"/>
      <c r="C1007" s="163"/>
      <c r="D1007" s="164"/>
      <c r="E1007" s="165"/>
      <c r="F1007" s="165"/>
      <c r="G1007" s="165"/>
      <c r="H1007" s="165"/>
      <c r="I1007" s="165"/>
      <c r="J1007" s="165"/>
      <c r="K1007" s="165"/>
      <c r="L1007" s="165"/>
      <c r="M1007" s="165"/>
      <c r="N1007" s="165"/>
      <c r="O1007" s="166"/>
    </row>
    <row r="1008" ht="1.5" customHeight="1">
      <c r="A1008" s="155"/>
      <c r="B1008" s="156"/>
      <c r="C1008" s="157"/>
      <c r="D1008" s="158"/>
      <c r="E1008" s="159"/>
      <c r="F1008" s="159"/>
      <c r="G1008" s="159"/>
      <c r="H1008" s="159"/>
      <c r="I1008" s="159"/>
      <c r="J1008" s="159"/>
      <c r="K1008" s="159"/>
      <c r="L1008" s="159"/>
      <c r="M1008" s="159"/>
      <c r="N1008" s="159"/>
      <c r="O1008" s="160"/>
    </row>
    <row r="1009" ht="1.5" customHeight="1">
      <c r="A1009" s="161"/>
      <c r="B1009" s="162"/>
      <c r="C1009" s="163"/>
      <c r="D1009" s="164"/>
      <c r="E1009" s="165"/>
      <c r="F1009" s="165"/>
      <c r="G1009" s="165"/>
      <c r="H1009" s="165"/>
      <c r="I1009" s="165"/>
      <c r="J1009" s="165"/>
      <c r="K1009" s="165"/>
      <c r="L1009" s="165"/>
      <c r="M1009" s="165"/>
      <c r="N1009" s="165"/>
      <c r="O1009" s="166"/>
    </row>
    <row r="1010" ht="1.5" customHeight="1">
      <c r="A1010" s="155"/>
      <c r="B1010" s="156"/>
      <c r="C1010" s="157"/>
      <c r="D1010" s="158"/>
      <c r="E1010" s="159"/>
      <c r="F1010" s="159"/>
      <c r="G1010" s="159"/>
      <c r="H1010" s="159"/>
      <c r="I1010" s="159"/>
      <c r="J1010" s="159"/>
      <c r="K1010" s="159"/>
      <c r="L1010" s="159"/>
      <c r="M1010" s="159"/>
      <c r="N1010" s="159"/>
      <c r="O1010" s="160"/>
    </row>
    <row r="1011" ht="1.5" customHeight="1">
      <c r="A1011" s="161"/>
      <c r="B1011" s="162"/>
      <c r="C1011" s="163"/>
      <c r="D1011" s="164"/>
      <c r="E1011" s="165"/>
      <c r="F1011" s="165"/>
      <c r="G1011" s="165"/>
      <c r="H1011" s="165"/>
      <c r="I1011" s="165"/>
      <c r="J1011" s="165"/>
      <c r="K1011" s="165"/>
      <c r="L1011" s="165"/>
      <c r="M1011" s="165"/>
      <c r="N1011" s="165"/>
      <c r="O1011" s="166"/>
    </row>
    <row r="1012" ht="1.5" customHeight="1">
      <c r="A1012" s="155"/>
      <c r="B1012" s="156"/>
      <c r="C1012" s="157"/>
      <c r="D1012" s="158"/>
      <c r="E1012" s="159"/>
      <c r="F1012" s="159"/>
      <c r="G1012" s="159"/>
      <c r="H1012" s="159"/>
      <c r="I1012" s="159"/>
      <c r="J1012" s="159"/>
      <c r="K1012" s="159"/>
      <c r="L1012" s="159"/>
      <c r="M1012" s="159"/>
      <c r="N1012" s="159"/>
      <c r="O1012" s="160"/>
    </row>
    <row r="1013" ht="1.5" customHeight="1">
      <c r="A1013" s="161"/>
      <c r="B1013" s="162"/>
      <c r="C1013" s="163"/>
      <c r="D1013" s="164"/>
      <c r="E1013" s="165"/>
      <c r="F1013" s="165"/>
      <c r="G1013" s="165"/>
      <c r="H1013" s="165"/>
      <c r="I1013" s="165"/>
      <c r="J1013" s="165"/>
      <c r="K1013" s="165"/>
      <c r="L1013" s="165"/>
      <c r="M1013" s="165"/>
      <c r="N1013" s="165"/>
      <c r="O1013" s="166"/>
    </row>
    <row r="1014" ht="1.5" customHeight="1">
      <c r="A1014" s="155"/>
      <c r="B1014" s="156"/>
      <c r="C1014" s="157"/>
      <c r="D1014" s="158"/>
      <c r="E1014" s="159"/>
      <c r="F1014" s="159"/>
      <c r="G1014" s="159"/>
      <c r="H1014" s="159"/>
      <c r="I1014" s="159"/>
      <c r="J1014" s="159"/>
      <c r="K1014" s="159"/>
      <c r="L1014" s="159"/>
      <c r="M1014" s="159"/>
      <c r="N1014" s="159"/>
      <c r="O1014" s="160"/>
    </row>
    <row r="1015" ht="1.5" customHeight="1">
      <c r="A1015" s="161"/>
      <c r="B1015" s="162"/>
      <c r="C1015" s="163"/>
      <c r="D1015" s="164"/>
      <c r="E1015" s="165"/>
      <c r="F1015" s="165"/>
      <c r="G1015" s="165"/>
      <c r="H1015" s="165"/>
      <c r="I1015" s="165"/>
      <c r="J1015" s="165"/>
      <c r="K1015" s="165"/>
      <c r="L1015" s="165"/>
      <c r="M1015" s="165"/>
      <c r="N1015" s="165"/>
      <c r="O1015" s="166"/>
    </row>
    <row r="1016" ht="1.5" customHeight="1">
      <c r="A1016" s="155"/>
      <c r="B1016" s="156"/>
      <c r="C1016" s="157"/>
      <c r="D1016" s="158"/>
      <c r="E1016" s="159"/>
      <c r="F1016" s="159"/>
      <c r="G1016" s="159"/>
      <c r="H1016" s="159"/>
      <c r="I1016" s="159"/>
      <c r="J1016" s="159"/>
      <c r="K1016" s="159"/>
      <c r="L1016" s="159"/>
      <c r="M1016" s="159"/>
      <c r="N1016" s="159"/>
      <c r="O1016" s="160"/>
    </row>
    <row r="1017" ht="1.5" customHeight="1">
      <c r="A1017" s="161"/>
      <c r="B1017" s="162"/>
      <c r="C1017" s="163"/>
      <c r="D1017" s="164"/>
      <c r="E1017" s="165"/>
      <c r="F1017" s="165"/>
      <c r="G1017" s="165"/>
      <c r="H1017" s="165"/>
      <c r="I1017" s="165"/>
      <c r="J1017" s="165"/>
      <c r="K1017" s="165"/>
      <c r="L1017" s="165"/>
      <c r="M1017" s="165"/>
      <c r="N1017" s="165"/>
      <c r="O1017" s="166"/>
    </row>
    <row r="1018" ht="1.5" customHeight="1">
      <c r="A1018" s="155"/>
      <c r="B1018" s="156"/>
      <c r="C1018" s="157"/>
      <c r="D1018" s="158"/>
      <c r="E1018" s="159"/>
      <c r="F1018" s="159"/>
      <c r="G1018" s="159"/>
      <c r="H1018" s="159"/>
      <c r="I1018" s="159"/>
      <c r="J1018" s="159"/>
      <c r="K1018" s="159"/>
      <c r="L1018" s="159"/>
      <c r="M1018" s="159"/>
      <c r="N1018" s="159"/>
      <c r="O1018" s="160"/>
    </row>
    <row r="1019" ht="1.5" customHeight="1">
      <c r="A1019" s="161"/>
      <c r="B1019" s="162"/>
      <c r="C1019" s="163"/>
      <c r="D1019" s="164"/>
      <c r="E1019" s="165"/>
      <c r="F1019" s="165"/>
      <c r="G1019" s="165"/>
      <c r="H1019" s="165"/>
      <c r="I1019" s="165"/>
      <c r="J1019" s="165"/>
      <c r="K1019" s="165"/>
      <c r="L1019" s="165"/>
      <c r="M1019" s="165"/>
      <c r="N1019" s="165"/>
      <c r="O1019" s="166"/>
    </row>
    <row r="1020" ht="1.5" customHeight="1">
      <c r="A1020" s="155"/>
      <c r="B1020" s="156"/>
      <c r="C1020" s="157"/>
      <c r="D1020" s="158"/>
      <c r="E1020" s="159"/>
      <c r="F1020" s="159"/>
      <c r="G1020" s="159"/>
      <c r="H1020" s="159"/>
      <c r="I1020" s="159"/>
      <c r="J1020" s="159"/>
      <c r="K1020" s="159"/>
      <c r="L1020" s="159"/>
      <c r="M1020" s="159"/>
      <c r="N1020" s="159"/>
      <c r="O1020" s="160"/>
    </row>
    <row r="1021" ht="1.5" customHeight="1">
      <c r="A1021" s="161"/>
      <c r="B1021" s="162"/>
      <c r="C1021" s="163"/>
      <c r="D1021" s="164"/>
      <c r="E1021" s="165"/>
      <c r="F1021" s="165"/>
      <c r="G1021" s="165"/>
      <c r="H1021" s="165"/>
      <c r="I1021" s="165"/>
      <c r="J1021" s="165"/>
      <c r="K1021" s="165"/>
      <c r="L1021" s="165"/>
      <c r="M1021" s="165"/>
      <c r="N1021" s="165"/>
      <c r="O1021" s="166"/>
    </row>
    <row r="1022" ht="1.5" customHeight="1">
      <c r="A1022" s="155"/>
      <c r="B1022" s="156"/>
      <c r="C1022" s="157"/>
      <c r="D1022" s="158"/>
      <c r="E1022" s="159"/>
      <c r="F1022" s="159"/>
      <c r="G1022" s="159"/>
      <c r="H1022" s="159"/>
      <c r="I1022" s="159"/>
      <c r="J1022" s="159"/>
      <c r="K1022" s="159"/>
      <c r="L1022" s="159"/>
      <c r="M1022" s="159"/>
      <c r="N1022" s="159"/>
      <c r="O1022" s="160"/>
    </row>
    <row r="1023" ht="1.5" customHeight="1">
      <c r="A1023" s="161"/>
      <c r="B1023" s="162"/>
      <c r="C1023" s="163"/>
      <c r="D1023" s="164"/>
      <c r="E1023" s="165"/>
      <c r="F1023" s="165"/>
      <c r="G1023" s="165"/>
      <c r="H1023" s="165"/>
      <c r="I1023" s="165"/>
      <c r="J1023" s="165"/>
      <c r="K1023" s="165"/>
      <c r="L1023" s="165"/>
      <c r="M1023" s="165"/>
      <c r="N1023" s="165"/>
      <c r="O1023" s="166"/>
    </row>
    <row r="1024" ht="1.5" customHeight="1">
      <c r="A1024" s="155"/>
      <c r="B1024" s="156"/>
      <c r="C1024" s="157"/>
      <c r="D1024" s="158"/>
      <c r="E1024" s="159"/>
      <c r="F1024" s="159"/>
      <c r="G1024" s="159"/>
      <c r="H1024" s="159"/>
      <c r="I1024" s="159"/>
      <c r="J1024" s="159"/>
      <c r="K1024" s="159"/>
      <c r="L1024" s="159"/>
      <c r="M1024" s="159"/>
      <c r="N1024" s="159"/>
      <c r="O1024" s="160"/>
    </row>
    <row r="1025" ht="1.5" customHeight="1">
      <c r="A1025" s="161"/>
      <c r="B1025" s="162"/>
      <c r="C1025" s="163"/>
      <c r="D1025" s="164"/>
      <c r="E1025" s="165"/>
      <c r="F1025" s="165"/>
      <c r="G1025" s="165"/>
      <c r="H1025" s="165"/>
      <c r="I1025" s="165"/>
      <c r="J1025" s="165"/>
      <c r="K1025" s="165"/>
      <c r="L1025" s="165"/>
      <c r="M1025" s="165"/>
      <c r="N1025" s="165"/>
      <c r="O1025" s="166"/>
    </row>
    <row r="1026" ht="1.5" customHeight="1">
      <c r="A1026" s="155"/>
      <c r="B1026" s="156"/>
      <c r="C1026" s="157"/>
      <c r="D1026" s="158"/>
      <c r="E1026" s="159"/>
      <c r="F1026" s="159"/>
      <c r="G1026" s="159"/>
      <c r="H1026" s="159"/>
      <c r="I1026" s="159"/>
      <c r="J1026" s="159"/>
      <c r="K1026" s="159"/>
      <c r="L1026" s="159"/>
      <c r="M1026" s="159"/>
      <c r="N1026" s="159"/>
      <c r="O1026" s="160"/>
    </row>
    <row r="1027" ht="1.5" customHeight="1">
      <c r="A1027" s="161"/>
      <c r="B1027" s="162"/>
      <c r="C1027" s="163"/>
      <c r="D1027" s="164"/>
      <c r="E1027" s="165"/>
      <c r="F1027" s="165"/>
      <c r="G1027" s="165"/>
      <c r="H1027" s="165"/>
      <c r="I1027" s="165"/>
      <c r="J1027" s="165"/>
      <c r="K1027" s="165"/>
      <c r="L1027" s="165"/>
      <c r="M1027" s="165"/>
      <c r="N1027" s="165"/>
      <c r="O1027" s="166"/>
    </row>
    <row r="1028" ht="1.5" customHeight="1">
      <c r="A1028" s="155"/>
      <c r="B1028" s="156"/>
      <c r="C1028" s="157"/>
      <c r="D1028" s="158"/>
      <c r="E1028" s="159"/>
      <c r="F1028" s="159"/>
      <c r="G1028" s="159"/>
      <c r="H1028" s="159"/>
      <c r="I1028" s="159"/>
      <c r="J1028" s="159"/>
      <c r="K1028" s="159"/>
      <c r="L1028" s="159"/>
      <c r="M1028" s="159"/>
      <c r="N1028" s="159"/>
      <c r="O1028" s="160"/>
    </row>
    <row r="1029" ht="1.5" customHeight="1">
      <c r="A1029" s="161"/>
      <c r="B1029" s="162"/>
      <c r="C1029" s="163"/>
      <c r="D1029" s="164"/>
      <c r="E1029" s="165"/>
      <c r="F1029" s="165"/>
      <c r="G1029" s="165"/>
      <c r="H1029" s="165"/>
      <c r="I1029" s="165"/>
      <c r="J1029" s="165"/>
      <c r="K1029" s="165"/>
      <c r="L1029" s="165"/>
      <c r="M1029" s="165"/>
      <c r="N1029" s="165"/>
      <c r="O1029" s="166"/>
    </row>
    <row r="1030" ht="1.5" customHeight="1">
      <c r="A1030" s="155"/>
      <c r="B1030" s="156"/>
      <c r="C1030" s="157"/>
      <c r="D1030" s="158"/>
      <c r="E1030" s="159"/>
      <c r="F1030" s="159"/>
      <c r="G1030" s="159"/>
      <c r="H1030" s="159"/>
      <c r="I1030" s="159"/>
      <c r="J1030" s="159"/>
      <c r="K1030" s="159"/>
      <c r="L1030" s="159"/>
      <c r="M1030" s="159"/>
      <c r="N1030" s="159"/>
      <c r="O1030" s="160"/>
    </row>
    <row r="1031" ht="1.5" customHeight="1">
      <c r="A1031" s="161"/>
      <c r="B1031" s="162"/>
      <c r="C1031" s="163"/>
      <c r="D1031" s="164"/>
      <c r="E1031" s="165"/>
      <c r="F1031" s="165"/>
      <c r="G1031" s="165"/>
      <c r="H1031" s="165"/>
      <c r="I1031" s="165"/>
      <c r="J1031" s="165"/>
      <c r="K1031" s="165"/>
      <c r="L1031" s="165"/>
      <c r="M1031" s="165"/>
      <c r="N1031" s="165"/>
      <c r="O1031" s="166"/>
    </row>
    <row r="1032" ht="1.5" customHeight="1">
      <c r="A1032" s="155"/>
      <c r="B1032" s="156"/>
      <c r="C1032" s="157"/>
      <c r="D1032" s="158"/>
      <c r="E1032" s="159"/>
      <c r="F1032" s="159"/>
      <c r="G1032" s="159"/>
      <c r="H1032" s="159"/>
      <c r="I1032" s="159"/>
      <c r="J1032" s="159"/>
      <c r="K1032" s="159"/>
      <c r="L1032" s="159"/>
      <c r="M1032" s="159"/>
      <c r="N1032" s="159"/>
      <c r="O1032" s="160"/>
    </row>
    <row r="1033" ht="1.5" customHeight="1">
      <c r="A1033" s="161"/>
      <c r="B1033" s="162"/>
      <c r="C1033" s="163"/>
      <c r="D1033" s="164"/>
      <c r="E1033" s="165"/>
      <c r="F1033" s="165"/>
      <c r="G1033" s="165"/>
      <c r="H1033" s="165"/>
      <c r="I1033" s="165"/>
      <c r="J1033" s="165"/>
      <c r="K1033" s="165"/>
      <c r="L1033" s="165"/>
      <c r="M1033" s="165"/>
      <c r="N1033" s="165"/>
      <c r="O1033" s="166"/>
    </row>
    <row r="1034" ht="1.5" customHeight="1">
      <c r="A1034" s="155"/>
      <c r="B1034" s="156"/>
      <c r="C1034" s="157"/>
      <c r="D1034" s="158"/>
      <c r="E1034" s="159"/>
      <c r="F1034" s="159"/>
      <c r="G1034" s="159"/>
      <c r="H1034" s="159"/>
      <c r="I1034" s="159"/>
      <c r="J1034" s="159"/>
      <c r="K1034" s="159"/>
      <c r="L1034" s="159"/>
      <c r="M1034" s="159"/>
      <c r="N1034" s="159"/>
      <c r="O1034" s="160"/>
    </row>
    <row r="1035" ht="1.5" customHeight="1">
      <c r="A1035" s="161"/>
      <c r="B1035" s="162"/>
      <c r="C1035" s="163"/>
      <c r="D1035" s="164"/>
      <c r="E1035" s="165"/>
      <c r="F1035" s="165"/>
      <c r="G1035" s="165"/>
      <c r="H1035" s="165"/>
      <c r="I1035" s="165"/>
      <c r="J1035" s="165"/>
      <c r="K1035" s="165"/>
      <c r="L1035" s="165"/>
      <c r="M1035" s="165"/>
      <c r="N1035" s="165"/>
      <c r="O1035" s="166"/>
    </row>
    <row r="1036" ht="1.5" customHeight="1">
      <c r="A1036" s="155"/>
      <c r="B1036" s="156"/>
      <c r="C1036" s="157"/>
      <c r="D1036" s="158"/>
      <c r="E1036" s="159"/>
      <c r="F1036" s="159"/>
      <c r="G1036" s="159"/>
      <c r="H1036" s="159"/>
      <c r="I1036" s="159"/>
      <c r="J1036" s="159"/>
      <c r="K1036" s="159"/>
      <c r="L1036" s="159"/>
      <c r="M1036" s="159"/>
      <c r="N1036" s="159"/>
      <c r="O1036" s="160"/>
    </row>
    <row r="1037" ht="1.5" customHeight="1">
      <c r="A1037" s="161"/>
      <c r="B1037" s="162"/>
      <c r="C1037" s="163"/>
      <c r="D1037" s="164"/>
      <c r="E1037" s="165"/>
      <c r="F1037" s="165"/>
      <c r="G1037" s="165"/>
      <c r="H1037" s="165"/>
      <c r="I1037" s="165"/>
      <c r="J1037" s="165"/>
      <c r="K1037" s="165"/>
      <c r="L1037" s="165"/>
      <c r="M1037" s="165"/>
      <c r="N1037" s="165"/>
      <c r="O1037" s="166"/>
    </row>
    <row r="1038" ht="1.5" customHeight="1">
      <c r="A1038" s="155"/>
      <c r="B1038" s="156"/>
      <c r="C1038" s="157"/>
      <c r="D1038" s="158"/>
      <c r="E1038" s="159"/>
      <c r="F1038" s="159"/>
      <c r="G1038" s="159"/>
      <c r="H1038" s="159"/>
      <c r="I1038" s="159"/>
      <c r="J1038" s="159"/>
      <c r="K1038" s="159"/>
      <c r="L1038" s="159"/>
      <c r="M1038" s="159"/>
      <c r="N1038" s="159"/>
      <c r="O1038" s="160"/>
    </row>
    <row r="1039" ht="1.5" customHeight="1">
      <c r="A1039" s="161"/>
      <c r="B1039" s="162"/>
      <c r="C1039" s="163"/>
      <c r="D1039" s="164"/>
      <c r="E1039" s="165"/>
      <c r="F1039" s="165"/>
      <c r="G1039" s="165"/>
      <c r="H1039" s="165"/>
      <c r="I1039" s="165"/>
      <c r="J1039" s="165"/>
      <c r="K1039" s="165"/>
      <c r="L1039" s="165"/>
      <c r="M1039" s="165"/>
      <c r="N1039" s="165"/>
      <c r="O1039" s="166"/>
    </row>
    <row r="1040" ht="1.5" customHeight="1">
      <c r="A1040" s="155"/>
      <c r="B1040" s="156"/>
      <c r="C1040" s="157"/>
      <c r="D1040" s="158"/>
      <c r="E1040" s="159"/>
      <c r="F1040" s="159"/>
      <c r="G1040" s="159"/>
      <c r="H1040" s="159"/>
      <c r="I1040" s="159"/>
      <c r="J1040" s="159"/>
      <c r="K1040" s="159"/>
      <c r="L1040" s="159"/>
      <c r="M1040" s="159"/>
      <c r="N1040" s="159"/>
      <c r="O1040" s="160"/>
    </row>
    <row r="1041" ht="1.5" customHeight="1">
      <c r="A1041" s="161"/>
      <c r="B1041" s="162"/>
      <c r="C1041" s="163"/>
      <c r="D1041" s="164"/>
      <c r="E1041" s="165"/>
      <c r="F1041" s="165"/>
      <c r="G1041" s="165"/>
      <c r="H1041" s="165"/>
      <c r="I1041" s="165"/>
      <c r="J1041" s="165"/>
      <c r="K1041" s="165"/>
      <c r="L1041" s="165"/>
      <c r="M1041" s="165"/>
      <c r="N1041" s="165"/>
      <c r="O1041" s="166"/>
    </row>
    <row r="1042" ht="1.5" customHeight="1">
      <c r="A1042" s="155"/>
      <c r="B1042" s="156"/>
      <c r="C1042" s="157"/>
      <c r="D1042" s="158"/>
      <c r="E1042" s="159"/>
      <c r="F1042" s="159"/>
      <c r="G1042" s="159"/>
      <c r="H1042" s="159"/>
      <c r="I1042" s="159"/>
      <c r="J1042" s="159"/>
      <c r="K1042" s="159"/>
      <c r="L1042" s="159"/>
      <c r="M1042" s="159"/>
      <c r="N1042" s="159"/>
      <c r="O1042" s="160"/>
    </row>
    <row r="1043" ht="1.5" customHeight="1">
      <c r="A1043" s="161"/>
      <c r="B1043" s="162"/>
      <c r="C1043" s="163"/>
      <c r="D1043" s="164"/>
      <c r="E1043" s="165"/>
      <c r="F1043" s="165"/>
      <c r="G1043" s="165"/>
      <c r="H1043" s="165"/>
      <c r="I1043" s="165"/>
      <c r="J1043" s="165"/>
      <c r="K1043" s="165"/>
      <c r="L1043" s="165"/>
      <c r="M1043" s="165"/>
      <c r="N1043" s="165"/>
      <c r="O1043" s="166"/>
    </row>
    <row r="1044" ht="1.5" customHeight="1">
      <c r="A1044" s="155"/>
      <c r="B1044" s="156"/>
      <c r="C1044" s="157"/>
      <c r="D1044" s="158"/>
      <c r="E1044" s="159"/>
      <c r="F1044" s="159"/>
      <c r="G1044" s="159"/>
      <c r="H1044" s="159"/>
      <c r="I1044" s="159"/>
      <c r="J1044" s="159"/>
      <c r="K1044" s="159"/>
      <c r="L1044" s="159"/>
      <c r="M1044" s="159"/>
      <c r="N1044" s="159"/>
      <c r="O1044" s="160"/>
    </row>
    <row r="1045" ht="1.5" customHeight="1">
      <c r="A1045" s="161"/>
      <c r="B1045" s="162"/>
      <c r="C1045" s="163"/>
      <c r="D1045" s="164"/>
      <c r="E1045" s="165"/>
      <c r="F1045" s="165"/>
      <c r="G1045" s="165"/>
      <c r="H1045" s="165"/>
      <c r="I1045" s="165"/>
      <c r="J1045" s="165"/>
      <c r="K1045" s="165"/>
      <c r="L1045" s="165"/>
      <c r="M1045" s="165"/>
      <c r="N1045" s="165"/>
      <c r="O1045" s="166"/>
    </row>
    <row r="1046" ht="1.5" customHeight="1">
      <c r="A1046" s="155"/>
      <c r="B1046" s="156"/>
      <c r="C1046" s="157"/>
      <c r="D1046" s="158"/>
      <c r="E1046" s="159"/>
      <c r="F1046" s="159"/>
      <c r="G1046" s="159"/>
      <c r="H1046" s="159"/>
      <c r="I1046" s="159"/>
      <c r="J1046" s="159"/>
      <c r="K1046" s="159"/>
      <c r="L1046" s="159"/>
      <c r="M1046" s="159"/>
      <c r="N1046" s="159"/>
      <c r="O1046" s="160"/>
    </row>
    <row r="1047" ht="1.5" customHeight="1">
      <c r="A1047" s="161"/>
      <c r="B1047" s="162"/>
      <c r="C1047" s="163"/>
      <c r="D1047" s="164"/>
      <c r="E1047" s="165"/>
      <c r="F1047" s="165"/>
      <c r="G1047" s="165"/>
      <c r="H1047" s="165"/>
      <c r="I1047" s="165"/>
      <c r="J1047" s="165"/>
      <c r="K1047" s="165"/>
      <c r="L1047" s="165"/>
      <c r="M1047" s="165"/>
      <c r="N1047" s="165"/>
      <c r="O1047" s="166"/>
    </row>
    <row r="1048" ht="1.5" customHeight="1">
      <c r="A1048" s="155"/>
      <c r="B1048" s="156"/>
      <c r="C1048" s="157"/>
      <c r="D1048" s="158"/>
      <c r="E1048" s="159"/>
      <c r="F1048" s="159"/>
      <c r="G1048" s="159"/>
      <c r="H1048" s="159"/>
      <c r="I1048" s="159"/>
      <c r="J1048" s="159"/>
      <c r="K1048" s="159"/>
      <c r="L1048" s="159"/>
      <c r="M1048" s="159"/>
      <c r="N1048" s="159"/>
      <c r="O1048" s="160"/>
    </row>
    <row r="1049" ht="1.5" customHeight="1">
      <c r="A1049" s="161"/>
      <c r="B1049" s="162"/>
      <c r="C1049" s="163"/>
      <c r="D1049" s="164"/>
      <c r="E1049" s="165"/>
      <c r="F1049" s="165"/>
      <c r="G1049" s="165"/>
      <c r="H1049" s="165"/>
      <c r="I1049" s="165"/>
      <c r="J1049" s="165"/>
      <c r="K1049" s="165"/>
      <c r="L1049" s="165"/>
      <c r="M1049" s="165"/>
      <c r="N1049" s="165"/>
      <c r="O1049" s="166"/>
    </row>
    <row r="1050" ht="1.5" customHeight="1">
      <c r="A1050" s="155"/>
      <c r="B1050" s="156"/>
      <c r="C1050" s="157"/>
      <c r="D1050" s="158"/>
      <c r="E1050" s="159"/>
      <c r="F1050" s="159"/>
      <c r="G1050" s="159"/>
      <c r="H1050" s="159"/>
      <c r="I1050" s="159"/>
      <c r="J1050" s="159"/>
      <c r="K1050" s="159"/>
      <c r="L1050" s="159"/>
      <c r="M1050" s="159"/>
      <c r="N1050" s="159"/>
      <c r="O1050" s="160"/>
    </row>
    <row r="1051" ht="1.5" customHeight="1">
      <c r="A1051" s="161"/>
      <c r="B1051" s="162"/>
      <c r="C1051" s="163"/>
      <c r="D1051" s="164"/>
      <c r="E1051" s="165"/>
      <c r="F1051" s="165"/>
      <c r="G1051" s="165"/>
      <c r="H1051" s="165"/>
      <c r="I1051" s="165"/>
      <c r="J1051" s="165"/>
      <c r="K1051" s="165"/>
      <c r="L1051" s="165"/>
      <c r="M1051" s="165"/>
      <c r="N1051" s="165"/>
      <c r="O1051" s="166"/>
    </row>
    <row r="1052" ht="1.5" customHeight="1">
      <c r="A1052" s="155"/>
      <c r="B1052" s="156"/>
      <c r="C1052" s="157"/>
      <c r="D1052" s="158"/>
      <c r="E1052" s="159"/>
      <c r="F1052" s="159"/>
      <c r="G1052" s="159"/>
      <c r="H1052" s="159"/>
      <c r="I1052" s="159"/>
      <c r="J1052" s="159"/>
      <c r="K1052" s="159"/>
      <c r="L1052" s="159"/>
      <c r="M1052" s="159"/>
      <c r="N1052" s="159"/>
      <c r="O1052" s="160"/>
    </row>
    <row r="1053" ht="1.5" customHeight="1">
      <c r="A1053" s="161"/>
      <c r="B1053" s="162"/>
      <c r="C1053" s="163"/>
      <c r="D1053" s="164"/>
      <c r="E1053" s="165"/>
      <c r="F1053" s="165"/>
      <c r="G1053" s="165"/>
      <c r="H1053" s="165"/>
      <c r="I1053" s="165"/>
      <c r="J1053" s="165"/>
      <c r="K1053" s="165"/>
      <c r="L1053" s="165"/>
      <c r="M1053" s="165"/>
      <c r="N1053" s="165"/>
      <c r="O1053" s="166"/>
    </row>
    <row r="1054" ht="1.5" customHeight="1">
      <c r="A1054" s="155"/>
      <c r="B1054" s="156"/>
      <c r="C1054" s="157"/>
      <c r="D1054" s="158"/>
      <c r="E1054" s="159"/>
      <c r="F1054" s="159"/>
      <c r="G1054" s="159"/>
      <c r="H1054" s="159"/>
      <c r="I1054" s="159"/>
      <c r="J1054" s="159"/>
      <c r="K1054" s="159"/>
      <c r="L1054" s="159"/>
      <c r="M1054" s="159"/>
      <c r="N1054" s="159"/>
      <c r="O1054" s="160"/>
    </row>
    <row r="1055" ht="1.5" customHeight="1">
      <c r="A1055" s="161"/>
      <c r="B1055" s="162"/>
      <c r="C1055" s="163"/>
      <c r="D1055" s="164"/>
      <c r="E1055" s="165"/>
      <c r="F1055" s="165"/>
      <c r="G1055" s="165"/>
      <c r="H1055" s="165"/>
      <c r="I1055" s="165"/>
      <c r="J1055" s="165"/>
      <c r="K1055" s="165"/>
      <c r="L1055" s="165"/>
      <c r="M1055" s="165"/>
      <c r="N1055" s="165"/>
      <c r="O1055" s="166"/>
    </row>
    <row r="1056" ht="1.5" customHeight="1">
      <c r="A1056" s="155"/>
      <c r="B1056" s="156"/>
      <c r="C1056" s="157"/>
      <c r="D1056" s="158"/>
      <c r="E1056" s="159"/>
      <c r="F1056" s="159"/>
      <c r="G1056" s="159"/>
      <c r="H1056" s="159"/>
      <c r="I1056" s="159"/>
      <c r="J1056" s="159"/>
      <c r="K1056" s="159"/>
      <c r="L1056" s="159"/>
      <c r="M1056" s="159"/>
      <c r="N1056" s="159"/>
      <c r="O1056" s="160"/>
    </row>
    <row r="1057" ht="1.5" customHeight="1">
      <c r="A1057" s="161"/>
      <c r="B1057" s="162"/>
      <c r="C1057" s="163"/>
      <c r="D1057" s="164"/>
      <c r="E1057" s="165"/>
      <c r="F1057" s="165"/>
      <c r="G1057" s="165"/>
      <c r="H1057" s="165"/>
      <c r="I1057" s="165"/>
      <c r="J1057" s="165"/>
      <c r="K1057" s="165"/>
      <c r="L1057" s="165"/>
      <c r="M1057" s="165"/>
      <c r="N1057" s="165"/>
      <c r="O1057" s="166"/>
    </row>
    <row r="1058" ht="1.5" customHeight="1">
      <c r="A1058" s="155"/>
      <c r="B1058" s="156"/>
      <c r="C1058" s="157"/>
      <c r="D1058" s="158"/>
      <c r="E1058" s="159"/>
      <c r="F1058" s="159"/>
      <c r="G1058" s="159"/>
      <c r="H1058" s="159"/>
      <c r="I1058" s="159"/>
      <c r="J1058" s="159"/>
      <c r="K1058" s="159"/>
      <c r="L1058" s="159"/>
      <c r="M1058" s="159"/>
      <c r="N1058" s="159"/>
      <c r="O1058" s="160"/>
    </row>
    <row r="1059" ht="1.5" customHeight="1">
      <c r="A1059" s="161"/>
      <c r="B1059" s="162"/>
      <c r="C1059" s="163"/>
      <c r="D1059" s="164"/>
      <c r="E1059" s="165"/>
      <c r="F1059" s="165"/>
      <c r="G1059" s="165"/>
      <c r="H1059" s="165"/>
      <c r="I1059" s="165"/>
      <c r="J1059" s="165"/>
      <c r="K1059" s="165"/>
      <c r="L1059" s="165"/>
      <c r="M1059" s="165"/>
      <c r="N1059" s="165"/>
      <c r="O1059" s="166"/>
    </row>
    <row r="1060" ht="1.5" customHeight="1">
      <c r="A1060" s="155"/>
      <c r="B1060" s="156"/>
      <c r="C1060" s="157"/>
      <c r="D1060" s="158"/>
      <c r="E1060" s="159"/>
      <c r="F1060" s="159"/>
      <c r="G1060" s="159"/>
      <c r="H1060" s="159"/>
      <c r="I1060" s="159"/>
      <c r="J1060" s="159"/>
      <c r="K1060" s="159"/>
      <c r="L1060" s="159"/>
      <c r="M1060" s="159"/>
      <c r="N1060" s="159"/>
      <c r="O1060" s="160"/>
    </row>
    <row r="1061" ht="1.5" customHeight="1">
      <c r="A1061" s="161"/>
      <c r="B1061" s="162"/>
      <c r="C1061" s="163"/>
      <c r="D1061" s="164"/>
      <c r="E1061" s="165"/>
      <c r="F1061" s="165"/>
      <c r="G1061" s="165"/>
      <c r="H1061" s="165"/>
      <c r="I1061" s="165"/>
      <c r="J1061" s="165"/>
      <c r="K1061" s="165"/>
      <c r="L1061" s="165"/>
      <c r="M1061" s="165"/>
      <c r="N1061" s="165"/>
      <c r="O1061" s="166"/>
    </row>
    <row r="1062" ht="1.5" customHeight="1">
      <c r="A1062" s="155"/>
      <c r="B1062" s="156"/>
      <c r="C1062" s="157"/>
      <c r="D1062" s="158"/>
      <c r="E1062" s="159"/>
      <c r="F1062" s="159"/>
      <c r="G1062" s="159"/>
      <c r="H1062" s="159"/>
      <c r="I1062" s="159"/>
      <c r="J1062" s="159"/>
      <c r="K1062" s="159"/>
      <c r="L1062" s="159"/>
      <c r="M1062" s="159"/>
      <c r="N1062" s="159"/>
      <c r="O1062" s="160"/>
    </row>
    <row r="1063" ht="1.5" customHeight="1">
      <c r="A1063" s="161"/>
      <c r="B1063" s="162"/>
      <c r="C1063" s="163"/>
      <c r="D1063" s="164"/>
      <c r="E1063" s="165"/>
      <c r="F1063" s="165"/>
      <c r="G1063" s="165"/>
      <c r="H1063" s="165"/>
      <c r="I1063" s="165"/>
      <c r="J1063" s="165"/>
      <c r="K1063" s="165"/>
      <c r="L1063" s="165"/>
      <c r="M1063" s="165"/>
      <c r="N1063" s="165"/>
      <c r="O1063" s="166"/>
    </row>
    <row r="1064" ht="1.5" customHeight="1">
      <c r="A1064" s="155"/>
      <c r="B1064" s="156"/>
      <c r="C1064" s="157"/>
      <c r="D1064" s="158"/>
      <c r="E1064" s="159"/>
      <c r="F1064" s="159"/>
      <c r="G1064" s="159"/>
      <c r="H1064" s="159"/>
      <c r="I1064" s="159"/>
      <c r="J1064" s="159"/>
      <c r="K1064" s="159"/>
      <c r="L1064" s="159"/>
      <c r="M1064" s="159"/>
      <c r="N1064" s="159"/>
      <c r="O1064" s="160"/>
    </row>
    <row r="1065" ht="1.5" customHeight="1">
      <c r="A1065" s="161"/>
      <c r="B1065" s="162"/>
      <c r="C1065" s="163"/>
      <c r="D1065" s="164"/>
      <c r="E1065" s="165"/>
      <c r="F1065" s="165"/>
      <c r="G1065" s="165"/>
      <c r="H1065" s="165"/>
      <c r="I1065" s="165"/>
      <c r="J1065" s="165"/>
      <c r="K1065" s="165"/>
      <c r="L1065" s="165"/>
      <c r="M1065" s="165"/>
      <c r="N1065" s="165"/>
      <c r="O1065" s="166"/>
    </row>
    <row r="1066" ht="1.5" customHeight="1">
      <c r="A1066" s="155"/>
      <c r="B1066" s="156"/>
      <c r="C1066" s="157"/>
      <c r="D1066" s="158"/>
      <c r="E1066" s="159"/>
      <c r="F1066" s="159"/>
      <c r="G1066" s="159"/>
      <c r="H1066" s="159"/>
      <c r="I1066" s="159"/>
      <c r="J1066" s="159"/>
      <c r="K1066" s="159"/>
      <c r="L1066" s="159"/>
      <c r="M1066" s="159"/>
      <c r="N1066" s="159"/>
      <c r="O1066" s="160"/>
    </row>
    <row r="1067" ht="1.5" customHeight="1">
      <c r="A1067" s="161"/>
      <c r="B1067" s="162"/>
      <c r="C1067" s="163"/>
      <c r="D1067" s="164"/>
      <c r="E1067" s="165"/>
      <c r="F1067" s="165"/>
      <c r="G1067" s="165"/>
      <c r="H1067" s="165"/>
      <c r="I1067" s="165"/>
      <c r="J1067" s="165"/>
      <c r="K1067" s="165"/>
      <c r="L1067" s="165"/>
      <c r="M1067" s="165"/>
      <c r="N1067" s="165"/>
      <c r="O1067" s="166"/>
    </row>
    <row r="1068" ht="1.5" customHeight="1">
      <c r="A1068" s="155"/>
      <c r="B1068" s="156"/>
      <c r="C1068" s="157"/>
      <c r="D1068" s="158"/>
      <c r="E1068" s="159"/>
      <c r="F1068" s="159"/>
      <c r="G1068" s="159"/>
      <c r="H1068" s="159"/>
      <c r="I1068" s="159"/>
      <c r="J1068" s="159"/>
      <c r="K1068" s="159"/>
      <c r="L1068" s="159"/>
      <c r="M1068" s="159"/>
      <c r="N1068" s="159"/>
      <c r="O1068" s="160"/>
    </row>
    <row r="1069" ht="1.5" customHeight="1">
      <c r="A1069" s="161"/>
      <c r="B1069" s="162"/>
      <c r="C1069" s="163"/>
      <c r="D1069" s="164"/>
      <c r="E1069" s="165"/>
      <c r="F1069" s="165"/>
      <c r="G1069" s="165"/>
      <c r="H1069" s="165"/>
      <c r="I1069" s="165"/>
      <c r="J1069" s="165"/>
      <c r="K1069" s="165"/>
      <c r="L1069" s="165"/>
      <c r="M1069" s="165"/>
      <c r="N1069" s="165"/>
      <c r="O1069" s="166"/>
    </row>
    <row r="1070" ht="1.5" customHeight="1">
      <c r="A1070" s="155"/>
      <c r="B1070" s="156"/>
      <c r="C1070" s="157"/>
      <c r="D1070" s="158"/>
      <c r="E1070" s="159"/>
      <c r="F1070" s="159"/>
      <c r="G1070" s="159"/>
      <c r="H1070" s="159"/>
      <c r="I1070" s="159"/>
      <c r="J1070" s="159"/>
      <c r="K1070" s="159"/>
      <c r="L1070" s="159"/>
      <c r="M1070" s="159"/>
      <c r="N1070" s="159"/>
      <c r="O1070" s="160"/>
    </row>
    <row r="1071" ht="1.5" customHeight="1">
      <c r="A1071" s="161"/>
      <c r="B1071" s="162"/>
      <c r="C1071" s="163"/>
      <c r="D1071" s="164"/>
      <c r="E1071" s="165"/>
      <c r="F1071" s="165"/>
      <c r="G1071" s="165"/>
      <c r="H1071" s="165"/>
      <c r="I1071" s="165"/>
      <c r="J1071" s="165"/>
      <c r="K1071" s="165"/>
      <c r="L1071" s="165"/>
      <c r="M1071" s="165"/>
      <c r="N1071" s="165"/>
      <c r="O1071" s="166"/>
    </row>
    <row r="1072" ht="1.5" customHeight="1">
      <c r="A1072" s="155"/>
      <c r="B1072" s="156"/>
      <c r="C1072" s="157"/>
      <c r="D1072" s="158"/>
      <c r="E1072" s="159"/>
      <c r="F1072" s="159"/>
      <c r="G1072" s="159"/>
      <c r="H1072" s="159"/>
      <c r="I1072" s="159"/>
      <c r="J1072" s="159"/>
      <c r="K1072" s="159"/>
      <c r="L1072" s="159"/>
      <c r="M1072" s="159"/>
      <c r="N1072" s="159"/>
      <c r="O1072" s="160"/>
    </row>
    <row r="1073" ht="1.5" customHeight="1">
      <c r="A1073" s="161"/>
      <c r="B1073" s="162"/>
      <c r="C1073" s="163"/>
      <c r="D1073" s="164"/>
      <c r="E1073" s="165"/>
      <c r="F1073" s="165"/>
      <c r="G1073" s="165"/>
      <c r="H1073" s="165"/>
      <c r="I1073" s="165"/>
      <c r="J1073" s="165"/>
      <c r="K1073" s="165"/>
      <c r="L1073" s="165"/>
      <c r="M1073" s="165"/>
      <c r="N1073" s="165"/>
      <c r="O1073" s="166"/>
    </row>
    <row r="1074" ht="1.5" customHeight="1">
      <c r="A1074" s="155"/>
      <c r="B1074" s="156"/>
      <c r="C1074" s="157"/>
      <c r="D1074" s="158"/>
      <c r="E1074" s="159"/>
      <c r="F1074" s="159"/>
      <c r="G1074" s="159"/>
      <c r="H1074" s="159"/>
      <c r="I1074" s="159"/>
      <c r="J1074" s="159"/>
      <c r="K1074" s="159"/>
      <c r="L1074" s="159"/>
      <c r="M1074" s="159"/>
      <c r="N1074" s="159"/>
      <c r="O1074" s="160"/>
    </row>
    <row r="1075" ht="1.5" customHeight="1">
      <c r="A1075" s="161"/>
      <c r="B1075" s="162"/>
      <c r="C1075" s="163"/>
      <c r="D1075" s="164"/>
      <c r="E1075" s="165"/>
      <c r="F1075" s="165"/>
      <c r="G1075" s="165"/>
      <c r="H1075" s="165"/>
      <c r="I1075" s="165"/>
      <c r="J1075" s="165"/>
      <c r="K1075" s="165"/>
      <c r="L1075" s="165"/>
      <c r="M1075" s="165"/>
      <c r="N1075" s="165"/>
      <c r="O1075" s="166"/>
    </row>
    <row r="1076" ht="1.5" customHeight="1">
      <c r="A1076" s="155"/>
      <c r="B1076" s="156"/>
      <c r="C1076" s="157"/>
      <c r="D1076" s="158"/>
      <c r="E1076" s="159"/>
      <c r="F1076" s="159"/>
      <c r="G1076" s="159"/>
      <c r="H1076" s="159"/>
      <c r="I1076" s="159"/>
      <c r="J1076" s="159"/>
      <c r="K1076" s="159"/>
      <c r="L1076" s="159"/>
      <c r="M1076" s="159"/>
      <c r="N1076" s="159"/>
      <c r="O1076" s="160"/>
    </row>
    <row r="1077" ht="1.5" customHeight="1">
      <c r="A1077" s="161"/>
      <c r="B1077" s="162"/>
      <c r="C1077" s="163"/>
      <c r="D1077" s="164"/>
      <c r="E1077" s="165"/>
      <c r="F1077" s="165"/>
      <c r="G1077" s="165"/>
      <c r="H1077" s="165"/>
      <c r="I1077" s="165"/>
      <c r="J1077" s="165"/>
      <c r="K1077" s="165"/>
      <c r="L1077" s="165"/>
      <c r="M1077" s="165"/>
      <c r="N1077" s="165"/>
      <c r="O1077" s="166"/>
    </row>
    <row r="1078" ht="1.5" customHeight="1">
      <c r="A1078" s="155"/>
      <c r="B1078" s="156"/>
      <c r="C1078" s="157"/>
      <c r="D1078" s="158"/>
      <c r="E1078" s="159"/>
      <c r="F1078" s="159"/>
      <c r="G1078" s="159"/>
      <c r="H1078" s="159"/>
      <c r="I1078" s="159"/>
      <c r="J1078" s="159"/>
      <c r="K1078" s="159"/>
      <c r="L1078" s="159"/>
      <c r="M1078" s="159"/>
      <c r="N1078" s="159"/>
      <c r="O1078" s="160"/>
    </row>
    <row r="1079" ht="1.5" customHeight="1">
      <c r="A1079" s="161"/>
      <c r="B1079" s="162"/>
      <c r="C1079" s="163"/>
      <c r="D1079" s="164"/>
      <c r="E1079" s="165"/>
      <c r="F1079" s="165"/>
      <c r="G1079" s="165"/>
      <c r="H1079" s="165"/>
      <c r="I1079" s="165"/>
      <c r="J1079" s="165"/>
      <c r="K1079" s="165"/>
      <c r="L1079" s="165"/>
      <c r="M1079" s="165"/>
      <c r="N1079" s="165"/>
      <c r="O1079" s="166"/>
    </row>
    <row r="1080" ht="1.5" customHeight="1">
      <c r="A1080" s="155"/>
      <c r="B1080" s="156"/>
      <c r="C1080" s="157"/>
      <c r="D1080" s="158"/>
      <c r="E1080" s="159"/>
      <c r="F1080" s="159"/>
      <c r="G1080" s="159"/>
      <c r="H1080" s="159"/>
      <c r="I1080" s="159"/>
      <c r="J1080" s="159"/>
      <c r="K1080" s="159"/>
      <c r="L1080" s="159"/>
      <c r="M1080" s="159"/>
      <c r="N1080" s="159"/>
      <c r="O1080" s="160"/>
    </row>
    <row r="1081" ht="1.5" customHeight="1">
      <c r="A1081" s="161"/>
      <c r="B1081" s="162"/>
      <c r="C1081" s="163"/>
      <c r="D1081" s="164"/>
      <c r="E1081" s="165"/>
      <c r="F1081" s="165"/>
      <c r="G1081" s="165"/>
      <c r="H1081" s="165"/>
      <c r="I1081" s="165"/>
      <c r="J1081" s="165"/>
      <c r="K1081" s="165"/>
      <c r="L1081" s="165"/>
      <c r="M1081" s="165"/>
      <c r="N1081" s="165"/>
      <c r="O1081" s="166"/>
    </row>
    <row r="1082" ht="1.5" customHeight="1">
      <c r="A1082" s="155"/>
      <c r="B1082" s="156"/>
      <c r="C1082" s="157"/>
      <c r="D1082" s="158"/>
      <c r="E1082" s="159"/>
      <c r="F1082" s="159"/>
      <c r="G1082" s="159"/>
      <c r="H1082" s="159"/>
      <c r="I1082" s="159"/>
      <c r="J1082" s="159"/>
      <c r="K1082" s="159"/>
      <c r="L1082" s="159"/>
      <c r="M1082" s="159"/>
      <c r="N1082" s="159"/>
      <c r="O1082" s="160"/>
    </row>
    <row r="1083" ht="1.5" customHeight="1">
      <c r="A1083" s="161"/>
      <c r="B1083" s="162"/>
      <c r="C1083" s="163"/>
      <c r="D1083" s="164"/>
      <c r="E1083" s="165"/>
      <c r="F1083" s="165"/>
      <c r="G1083" s="165"/>
      <c r="H1083" s="165"/>
      <c r="I1083" s="165"/>
      <c r="J1083" s="165"/>
      <c r="K1083" s="165"/>
      <c r="L1083" s="165"/>
      <c r="M1083" s="165"/>
      <c r="N1083" s="165"/>
      <c r="O1083" s="166"/>
    </row>
    <row r="1084" ht="1.5" customHeight="1">
      <c r="A1084" s="155"/>
      <c r="B1084" s="156"/>
      <c r="C1084" s="157"/>
      <c r="D1084" s="158"/>
      <c r="E1084" s="159"/>
      <c r="F1084" s="159"/>
      <c r="G1084" s="159"/>
      <c r="H1084" s="159"/>
      <c r="I1084" s="159"/>
      <c r="J1084" s="159"/>
      <c r="K1084" s="159"/>
      <c r="L1084" s="159"/>
      <c r="M1084" s="159"/>
      <c r="N1084" s="159"/>
      <c r="O1084" s="160"/>
    </row>
    <row r="1085" ht="1.5" customHeight="1">
      <c r="A1085" s="161"/>
      <c r="B1085" s="162"/>
      <c r="C1085" s="163"/>
      <c r="D1085" s="164"/>
      <c r="E1085" s="165"/>
      <c r="F1085" s="165"/>
      <c r="G1085" s="165"/>
      <c r="H1085" s="165"/>
      <c r="I1085" s="165"/>
      <c r="J1085" s="165"/>
      <c r="K1085" s="165"/>
      <c r="L1085" s="165"/>
      <c r="M1085" s="165"/>
      <c r="N1085" s="165"/>
      <c r="O1085" s="166"/>
    </row>
    <row r="1086" ht="1.5" customHeight="1">
      <c r="A1086" s="155"/>
      <c r="B1086" s="156"/>
      <c r="C1086" s="157"/>
      <c r="D1086" s="158"/>
      <c r="E1086" s="159"/>
      <c r="F1086" s="159"/>
      <c r="G1086" s="159"/>
      <c r="H1086" s="159"/>
      <c r="I1086" s="159"/>
      <c r="J1086" s="159"/>
      <c r="K1086" s="159"/>
      <c r="L1086" s="159"/>
      <c r="M1086" s="159"/>
      <c r="N1086" s="159"/>
      <c r="O1086" s="160"/>
    </row>
    <row r="1087" ht="1.5" customHeight="1">
      <c r="A1087" s="161"/>
      <c r="B1087" s="162"/>
      <c r="C1087" s="163"/>
      <c r="D1087" s="164"/>
      <c r="E1087" s="165"/>
      <c r="F1087" s="165"/>
      <c r="G1087" s="165"/>
      <c r="H1087" s="165"/>
      <c r="I1087" s="165"/>
      <c r="J1087" s="165"/>
      <c r="K1087" s="165"/>
      <c r="L1087" s="165"/>
      <c r="M1087" s="165"/>
      <c r="N1087" s="165"/>
      <c r="O1087" s="166"/>
    </row>
    <row r="1088" ht="1.5" customHeight="1">
      <c r="A1088" s="155"/>
      <c r="B1088" s="156"/>
      <c r="C1088" s="157"/>
      <c r="D1088" s="158"/>
      <c r="E1088" s="159"/>
      <c r="F1088" s="159"/>
      <c r="G1088" s="159"/>
      <c r="H1088" s="159"/>
      <c r="I1088" s="159"/>
      <c r="J1088" s="159"/>
      <c r="K1088" s="159"/>
      <c r="L1088" s="159"/>
      <c r="M1088" s="159"/>
      <c r="N1088" s="159"/>
      <c r="O1088" s="160"/>
    </row>
    <row r="1089" ht="1.5" customHeight="1">
      <c r="A1089" s="161"/>
      <c r="B1089" s="162"/>
      <c r="C1089" s="163"/>
      <c r="D1089" s="164"/>
      <c r="E1089" s="165"/>
      <c r="F1089" s="165"/>
      <c r="G1089" s="165"/>
      <c r="H1089" s="165"/>
      <c r="I1089" s="165"/>
      <c r="J1089" s="165"/>
      <c r="K1089" s="165"/>
      <c r="L1089" s="165"/>
      <c r="M1089" s="165"/>
      <c r="N1089" s="165"/>
      <c r="O1089" s="166"/>
    </row>
    <row r="1090" ht="1.5" customHeight="1">
      <c r="A1090" s="155"/>
      <c r="B1090" s="156"/>
      <c r="C1090" s="157"/>
      <c r="D1090" s="158"/>
      <c r="E1090" s="159"/>
      <c r="F1090" s="159"/>
      <c r="G1090" s="159"/>
      <c r="H1090" s="159"/>
      <c r="I1090" s="159"/>
      <c r="J1090" s="159"/>
      <c r="K1090" s="159"/>
      <c r="L1090" s="159"/>
      <c r="M1090" s="159"/>
      <c r="N1090" s="159"/>
      <c r="O1090" s="160"/>
    </row>
    <row r="1091" ht="1.5" customHeight="1">
      <c r="A1091" s="161"/>
      <c r="B1091" s="162"/>
      <c r="C1091" s="163"/>
      <c r="D1091" s="164"/>
      <c r="E1091" s="165"/>
      <c r="F1091" s="165"/>
      <c r="G1091" s="165"/>
      <c r="H1091" s="165"/>
      <c r="I1091" s="165"/>
      <c r="J1091" s="165"/>
      <c r="K1091" s="165"/>
      <c r="L1091" s="165"/>
      <c r="M1091" s="165"/>
      <c r="N1091" s="165"/>
      <c r="O1091" s="166"/>
    </row>
    <row r="1092" ht="1.5" customHeight="1">
      <c r="A1092" s="155"/>
      <c r="B1092" s="156"/>
      <c r="C1092" s="157"/>
      <c r="D1092" s="158"/>
      <c r="E1092" s="159"/>
      <c r="F1092" s="159"/>
      <c r="G1092" s="159"/>
      <c r="H1092" s="159"/>
      <c r="I1092" s="159"/>
      <c r="J1092" s="159"/>
      <c r="K1092" s="159"/>
      <c r="L1092" s="159"/>
      <c r="M1092" s="159"/>
      <c r="N1092" s="159"/>
      <c r="O1092" s="160"/>
    </row>
    <row r="1093" ht="1.5" customHeight="1">
      <c r="A1093" s="161"/>
      <c r="B1093" s="162"/>
      <c r="C1093" s="163"/>
      <c r="D1093" s="164"/>
      <c r="E1093" s="165"/>
      <c r="F1093" s="165"/>
      <c r="G1093" s="165"/>
      <c r="H1093" s="165"/>
      <c r="I1093" s="165"/>
      <c r="J1093" s="165"/>
      <c r="K1093" s="165"/>
      <c r="L1093" s="165"/>
      <c r="M1093" s="165"/>
      <c r="N1093" s="165"/>
      <c r="O1093" s="166"/>
    </row>
    <row r="1094" ht="1.5" customHeight="1">
      <c r="A1094" s="155"/>
      <c r="B1094" s="156"/>
      <c r="C1094" s="157"/>
      <c r="D1094" s="158"/>
      <c r="E1094" s="159"/>
      <c r="F1094" s="159"/>
      <c r="G1094" s="159"/>
      <c r="H1094" s="159"/>
      <c r="I1094" s="159"/>
      <c r="J1094" s="159"/>
      <c r="K1094" s="159"/>
      <c r="L1094" s="159"/>
      <c r="M1094" s="159"/>
      <c r="N1094" s="159"/>
      <c r="O1094" s="160"/>
    </row>
    <row r="1095" ht="1.5" customHeight="1">
      <c r="A1095" s="161"/>
      <c r="B1095" s="162"/>
      <c r="C1095" s="163"/>
      <c r="D1095" s="164"/>
      <c r="E1095" s="165"/>
      <c r="F1095" s="165"/>
      <c r="G1095" s="165"/>
      <c r="H1095" s="165"/>
      <c r="I1095" s="165"/>
      <c r="J1095" s="165"/>
      <c r="K1095" s="165"/>
      <c r="L1095" s="165"/>
      <c r="M1095" s="165"/>
      <c r="N1095" s="165"/>
      <c r="O1095" s="166"/>
    </row>
    <row r="1096" ht="1.5" customHeight="1">
      <c r="A1096" s="155"/>
      <c r="B1096" s="156"/>
      <c r="C1096" s="157"/>
      <c r="D1096" s="158"/>
      <c r="E1096" s="159"/>
      <c r="F1096" s="159"/>
      <c r="G1096" s="159"/>
      <c r="H1096" s="159"/>
      <c r="I1096" s="159"/>
      <c r="J1096" s="159"/>
      <c r="K1096" s="159"/>
      <c r="L1096" s="159"/>
      <c r="M1096" s="159"/>
      <c r="N1096" s="159"/>
      <c r="O1096" s="160"/>
    </row>
    <row r="1097" ht="1.5" customHeight="1">
      <c r="A1097" s="161"/>
      <c r="B1097" s="162"/>
      <c r="C1097" s="163"/>
      <c r="D1097" s="164"/>
      <c r="E1097" s="165"/>
      <c r="F1097" s="165"/>
      <c r="G1097" s="165"/>
      <c r="H1097" s="165"/>
      <c r="I1097" s="165"/>
      <c r="J1097" s="165"/>
      <c r="K1097" s="165"/>
      <c r="L1097" s="165"/>
      <c r="M1097" s="165"/>
      <c r="N1097" s="165"/>
      <c r="O1097" s="166"/>
    </row>
    <row r="1098" ht="1.5" customHeight="1">
      <c r="A1098" s="155"/>
      <c r="B1098" s="156"/>
      <c r="C1098" s="157"/>
      <c r="D1098" s="158"/>
      <c r="E1098" s="159"/>
      <c r="F1098" s="159"/>
      <c r="G1098" s="159"/>
      <c r="H1098" s="159"/>
      <c r="I1098" s="159"/>
      <c r="J1098" s="159"/>
      <c r="K1098" s="159"/>
      <c r="L1098" s="159"/>
      <c r="M1098" s="159"/>
      <c r="N1098" s="159"/>
      <c r="O1098" s="160"/>
    </row>
    <row r="1099" ht="1.5" customHeight="1">
      <c r="A1099" s="161"/>
      <c r="B1099" s="162"/>
      <c r="C1099" s="163"/>
      <c r="D1099" s="164"/>
      <c r="E1099" s="165"/>
      <c r="F1099" s="165"/>
      <c r="G1099" s="165"/>
      <c r="H1099" s="165"/>
      <c r="I1099" s="165"/>
      <c r="J1099" s="165"/>
      <c r="K1099" s="165"/>
      <c r="L1099" s="165"/>
      <c r="M1099" s="165"/>
      <c r="N1099" s="165"/>
      <c r="O1099" s="166"/>
    </row>
    <row r="1100" ht="1.5" customHeight="1">
      <c r="A1100" s="155"/>
      <c r="B1100" s="156"/>
      <c r="C1100" s="157"/>
      <c r="D1100" s="158"/>
      <c r="E1100" s="159"/>
      <c r="F1100" s="159"/>
      <c r="G1100" s="159"/>
      <c r="H1100" s="159"/>
      <c r="I1100" s="159"/>
      <c r="J1100" s="159"/>
      <c r="K1100" s="159"/>
      <c r="L1100" s="159"/>
      <c r="M1100" s="159"/>
      <c r="N1100" s="159"/>
      <c r="O1100" s="160"/>
    </row>
    <row r="1101" ht="1.5" customHeight="1">
      <c r="A1101" s="161"/>
      <c r="B1101" s="162"/>
      <c r="C1101" s="163"/>
      <c r="D1101" s="164"/>
      <c r="E1101" s="165"/>
      <c r="F1101" s="165"/>
      <c r="G1101" s="165"/>
      <c r="H1101" s="165"/>
      <c r="I1101" s="165"/>
      <c r="J1101" s="165"/>
      <c r="K1101" s="165"/>
      <c r="L1101" s="165"/>
      <c r="M1101" s="165"/>
      <c r="N1101" s="165"/>
      <c r="O1101" s="166"/>
    </row>
    <row r="1102" ht="1.5" customHeight="1">
      <c r="A1102" s="155"/>
      <c r="B1102" s="156"/>
      <c r="C1102" s="157"/>
      <c r="D1102" s="158"/>
      <c r="E1102" s="159"/>
      <c r="F1102" s="159"/>
      <c r="G1102" s="159"/>
      <c r="H1102" s="159"/>
      <c r="I1102" s="159"/>
      <c r="J1102" s="159"/>
      <c r="K1102" s="159"/>
      <c r="L1102" s="159"/>
      <c r="M1102" s="159"/>
      <c r="N1102" s="159"/>
      <c r="O1102" s="160"/>
    </row>
    <row r="1103" ht="1.5" customHeight="1">
      <c r="A1103" s="161"/>
      <c r="B1103" s="162"/>
      <c r="C1103" s="163"/>
      <c r="D1103" s="164"/>
      <c r="E1103" s="165"/>
      <c r="F1103" s="165"/>
      <c r="G1103" s="165"/>
      <c r="H1103" s="165"/>
      <c r="I1103" s="165"/>
      <c r="J1103" s="165"/>
      <c r="K1103" s="165"/>
      <c r="L1103" s="165"/>
      <c r="M1103" s="165"/>
      <c r="N1103" s="165"/>
      <c r="O1103" s="166"/>
    </row>
    <row r="1104" ht="1.5" customHeight="1">
      <c r="A1104" s="155"/>
      <c r="B1104" s="156"/>
      <c r="C1104" s="157"/>
      <c r="D1104" s="158"/>
      <c r="E1104" s="159"/>
      <c r="F1104" s="159"/>
      <c r="G1104" s="159"/>
      <c r="H1104" s="159"/>
      <c r="I1104" s="159"/>
      <c r="J1104" s="159"/>
      <c r="K1104" s="159"/>
      <c r="L1104" s="159"/>
      <c r="M1104" s="159"/>
      <c r="N1104" s="159"/>
      <c r="O1104" s="160"/>
    </row>
    <row r="1105" ht="1.5" customHeight="1">
      <c r="A1105" s="161"/>
      <c r="B1105" s="162"/>
      <c r="C1105" s="163"/>
      <c r="D1105" s="164"/>
      <c r="E1105" s="165"/>
      <c r="F1105" s="165"/>
      <c r="G1105" s="165"/>
      <c r="H1105" s="165"/>
      <c r="I1105" s="165"/>
      <c r="J1105" s="165"/>
      <c r="K1105" s="165"/>
      <c r="L1105" s="165"/>
      <c r="M1105" s="165"/>
      <c r="N1105" s="165"/>
      <c r="O1105" s="166"/>
    </row>
    <row r="1106" ht="1.5" customHeight="1">
      <c r="A1106" s="155"/>
      <c r="B1106" s="156"/>
      <c r="C1106" s="157"/>
      <c r="D1106" s="158"/>
      <c r="E1106" s="159"/>
      <c r="F1106" s="159"/>
      <c r="G1106" s="159"/>
      <c r="H1106" s="159"/>
      <c r="I1106" s="159"/>
      <c r="J1106" s="159"/>
      <c r="K1106" s="159"/>
      <c r="L1106" s="159"/>
      <c r="M1106" s="159"/>
      <c r="N1106" s="159"/>
      <c r="O1106" s="160"/>
    </row>
    <row r="1107" ht="1.5" customHeight="1">
      <c r="A1107" s="161"/>
      <c r="B1107" s="162"/>
      <c r="C1107" s="163"/>
      <c r="D1107" s="164"/>
      <c r="E1107" s="165"/>
      <c r="F1107" s="165"/>
      <c r="G1107" s="165"/>
      <c r="H1107" s="165"/>
      <c r="I1107" s="165"/>
      <c r="J1107" s="165"/>
      <c r="K1107" s="165"/>
      <c r="L1107" s="165"/>
      <c r="M1107" s="165"/>
      <c r="N1107" s="165"/>
      <c r="O1107" s="166"/>
    </row>
    <row r="1108" ht="1.5" customHeight="1">
      <c r="A1108" s="155"/>
      <c r="B1108" s="156"/>
      <c r="C1108" s="157"/>
      <c r="D1108" s="158"/>
      <c r="E1108" s="159"/>
      <c r="F1108" s="159"/>
      <c r="G1108" s="159"/>
      <c r="H1108" s="159"/>
      <c r="I1108" s="159"/>
      <c r="J1108" s="159"/>
      <c r="K1108" s="159"/>
      <c r="L1108" s="159"/>
      <c r="M1108" s="159"/>
      <c r="N1108" s="159"/>
      <c r="O1108" s="160"/>
    </row>
    <row r="1109" ht="1.5" customHeight="1">
      <c r="A1109" s="161"/>
      <c r="B1109" s="162"/>
      <c r="C1109" s="163"/>
      <c r="D1109" s="164"/>
      <c r="E1109" s="165"/>
      <c r="F1109" s="165"/>
      <c r="G1109" s="165"/>
      <c r="H1109" s="165"/>
      <c r="I1109" s="165"/>
      <c r="J1109" s="165"/>
      <c r="K1109" s="165"/>
      <c r="L1109" s="165"/>
      <c r="M1109" s="165"/>
      <c r="N1109" s="165"/>
      <c r="O1109" s="166"/>
    </row>
    <row r="1110" ht="1.5" customHeight="1">
      <c r="A1110" s="155"/>
      <c r="B1110" s="156"/>
      <c r="C1110" s="157"/>
      <c r="D1110" s="158"/>
      <c r="E1110" s="159"/>
      <c r="F1110" s="159"/>
      <c r="G1110" s="159"/>
      <c r="H1110" s="159"/>
      <c r="I1110" s="159"/>
      <c r="J1110" s="159"/>
      <c r="K1110" s="159"/>
      <c r="L1110" s="159"/>
      <c r="M1110" s="159"/>
      <c r="N1110" s="159"/>
      <c r="O1110" s="160"/>
    </row>
    <row r="1111" ht="1.5" customHeight="1">
      <c r="A1111" s="161"/>
      <c r="B1111" s="162"/>
      <c r="C1111" s="163"/>
      <c r="D1111" s="164"/>
      <c r="E1111" s="165"/>
      <c r="F1111" s="165"/>
      <c r="G1111" s="165"/>
      <c r="H1111" s="165"/>
      <c r="I1111" s="165"/>
      <c r="J1111" s="165"/>
      <c r="K1111" s="165"/>
      <c r="L1111" s="165"/>
      <c r="M1111" s="165"/>
      <c r="N1111" s="165"/>
      <c r="O1111" s="166"/>
    </row>
    <row r="1112" ht="1.5" customHeight="1">
      <c r="A1112" s="155"/>
      <c r="B1112" s="156"/>
      <c r="C1112" s="157"/>
      <c r="D1112" s="158"/>
      <c r="E1112" s="159"/>
      <c r="F1112" s="159"/>
      <c r="G1112" s="159"/>
      <c r="H1112" s="159"/>
      <c r="I1112" s="159"/>
      <c r="J1112" s="159"/>
      <c r="K1112" s="159"/>
      <c r="L1112" s="159"/>
      <c r="M1112" s="159"/>
      <c r="N1112" s="159"/>
      <c r="O1112" s="160"/>
    </row>
    <row r="1113" ht="1.5" customHeight="1">
      <c r="A1113" s="161"/>
      <c r="B1113" s="162"/>
      <c r="C1113" s="163"/>
      <c r="D1113" s="164"/>
      <c r="E1113" s="165"/>
      <c r="F1113" s="165"/>
      <c r="G1113" s="165"/>
      <c r="H1113" s="165"/>
      <c r="I1113" s="165"/>
      <c r="J1113" s="165"/>
      <c r="K1113" s="165"/>
      <c r="L1113" s="165"/>
      <c r="M1113" s="165"/>
      <c r="N1113" s="165"/>
      <c r="O1113" s="166"/>
    </row>
    <row r="1114" ht="1.5" customHeight="1">
      <c r="A1114" s="155"/>
      <c r="B1114" s="156"/>
      <c r="C1114" s="157"/>
      <c r="D1114" s="158"/>
      <c r="E1114" s="159"/>
      <c r="F1114" s="159"/>
      <c r="G1114" s="159"/>
      <c r="H1114" s="159"/>
      <c r="I1114" s="159"/>
      <c r="J1114" s="159"/>
      <c r="K1114" s="159"/>
      <c r="L1114" s="159"/>
      <c r="M1114" s="159"/>
      <c r="N1114" s="159"/>
      <c r="O1114" s="160"/>
    </row>
    <row r="1115" ht="1.5" customHeight="1">
      <c r="A1115" s="161"/>
      <c r="B1115" s="162"/>
      <c r="C1115" s="163"/>
      <c r="D1115" s="164"/>
      <c r="E1115" s="165"/>
      <c r="F1115" s="165"/>
      <c r="G1115" s="165"/>
      <c r="H1115" s="165"/>
      <c r="I1115" s="165"/>
      <c r="J1115" s="165"/>
      <c r="K1115" s="165"/>
      <c r="L1115" s="165"/>
      <c r="M1115" s="165"/>
      <c r="N1115" s="165"/>
      <c r="O1115" s="166"/>
    </row>
    <row r="1116" ht="1.5" customHeight="1">
      <c r="A1116" s="155"/>
      <c r="B1116" s="156"/>
      <c r="C1116" s="157"/>
      <c r="D1116" s="158"/>
      <c r="E1116" s="159"/>
      <c r="F1116" s="159"/>
      <c r="G1116" s="159"/>
      <c r="H1116" s="159"/>
      <c r="I1116" s="159"/>
      <c r="J1116" s="159"/>
      <c r="K1116" s="159"/>
      <c r="L1116" s="159"/>
      <c r="M1116" s="159"/>
      <c r="N1116" s="159"/>
      <c r="O1116" s="160"/>
    </row>
    <row r="1117" ht="1.5" customHeight="1">
      <c r="A1117" s="161"/>
      <c r="B1117" s="162"/>
      <c r="C1117" s="163"/>
      <c r="D1117" s="164"/>
      <c r="E1117" s="165"/>
      <c r="F1117" s="165"/>
      <c r="G1117" s="165"/>
      <c r="H1117" s="165"/>
      <c r="I1117" s="165"/>
      <c r="J1117" s="165"/>
      <c r="K1117" s="165"/>
      <c r="L1117" s="165"/>
      <c r="M1117" s="165"/>
      <c r="N1117" s="165"/>
      <c r="O1117" s="166"/>
    </row>
    <row r="1118" ht="1.5" customHeight="1">
      <c r="A1118" s="155"/>
      <c r="B1118" s="156"/>
      <c r="C1118" s="157"/>
      <c r="D1118" s="158"/>
      <c r="E1118" s="159"/>
      <c r="F1118" s="159"/>
      <c r="G1118" s="159"/>
      <c r="H1118" s="159"/>
      <c r="I1118" s="159"/>
      <c r="J1118" s="159"/>
      <c r="K1118" s="159"/>
      <c r="L1118" s="159"/>
      <c r="M1118" s="159"/>
      <c r="N1118" s="159"/>
      <c r="O1118" s="160"/>
    </row>
    <row r="1119" ht="1.5" customHeight="1">
      <c r="A1119" s="161"/>
      <c r="B1119" s="162"/>
      <c r="C1119" s="163"/>
      <c r="D1119" s="164"/>
      <c r="E1119" s="165"/>
      <c r="F1119" s="165"/>
      <c r="G1119" s="165"/>
      <c r="H1119" s="165"/>
      <c r="I1119" s="165"/>
      <c r="J1119" s="165"/>
      <c r="K1119" s="165"/>
      <c r="L1119" s="165"/>
      <c r="M1119" s="165"/>
      <c r="N1119" s="165"/>
      <c r="O1119" s="166"/>
    </row>
    <row r="1120" ht="1.5" customHeight="1">
      <c r="A1120" s="155"/>
      <c r="B1120" s="156"/>
      <c r="C1120" s="157"/>
      <c r="D1120" s="158"/>
      <c r="E1120" s="159"/>
      <c r="F1120" s="159"/>
      <c r="G1120" s="159"/>
      <c r="H1120" s="159"/>
      <c r="I1120" s="159"/>
      <c r="J1120" s="159"/>
      <c r="K1120" s="159"/>
      <c r="L1120" s="159"/>
      <c r="M1120" s="159"/>
      <c r="N1120" s="159"/>
      <c r="O1120" s="160"/>
    </row>
    <row r="1121" ht="1.5" customHeight="1">
      <c r="A1121" s="161"/>
      <c r="B1121" s="162"/>
      <c r="C1121" s="163"/>
      <c r="D1121" s="164"/>
      <c r="E1121" s="165"/>
      <c r="F1121" s="165"/>
      <c r="G1121" s="165"/>
      <c r="H1121" s="165"/>
      <c r="I1121" s="165"/>
      <c r="J1121" s="165"/>
      <c r="K1121" s="165"/>
      <c r="L1121" s="165"/>
      <c r="M1121" s="165"/>
      <c r="N1121" s="165"/>
      <c r="O1121" s="166"/>
    </row>
    <row r="1122" ht="1.5" customHeight="1">
      <c r="A1122" s="155"/>
      <c r="B1122" s="156"/>
      <c r="C1122" s="157"/>
      <c r="D1122" s="158"/>
      <c r="E1122" s="159"/>
      <c r="F1122" s="159"/>
      <c r="G1122" s="159"/>
      <c r="H1122" s="159"/>
      <c r="I1122" s="159"/>
      <c r="J1122" s="159"/>
      <c r="K1122" s="159"/>
      <c r="L1122" s="159"/>
      <c r="M1122" s="159"/>
      <c r="N1122" s="159"/>
      <c r="O1122" s="160"/>
    </row>
    <row r="1123" ht="1.5" customHeight="1">
      <c r="A1123" s="161"/>
      <c r="B1123" s="162"/>
      <c r="C1123" s="163"/>
      <c r="D1123" s="164"/>
      <c r="E1123" s="165"/>
      <c r="F1123" s="165"/>
      <c r="G1123" s="165"/>
      <c r="H1123" s="165"/>
      <c r="I1123" s="165"/>
      <c r="J1123" s="165"/>
      <c r="K1123" s="165"/>
      <c r="L1123" s="165"/>
      <c r="M1123" s="165"/>
      <c r="N1123" s="165"/>
      <c r="O1123" s="166"/>
    </row>
    <row r="1124" ht="1.5" customHeight="1">
      <c r="A1124" s="155"/>
      <c r="B1124" s="156"/>
      <c r="C1124" s="157"/>
      <c r="D1124" s="158"/>
      <c r="E1124" s="159"/>
      <c r="F1124" s="159"/>
      <c r="G1124" s="159"/>
      <c r="H1124" s="159"/>
      <c r="I1124" s="159"/>
      <c r="J1124" s="159"/>
      <c r="K1124" s="159"/>
      <c r="L1124" s="159"/>
      <c r="M1124" s="159"/>
      <c r="N1124" s="159"/>
      <c r="O1124" s="160"/>
    </row>
    <row r="1125" ht="1.5" customHeight="1">
      <c r="A1125" s="161"/>
      <c r="B1125" s="162"/>
      <c r="C1125" s="163"/>
      <c r="D1125" s="164"/>
      <c r="E1125" s="165"/>
      <c r="F1125" s="165"/>
      <c r="G1125" s="165"/>
      <c r="H1125" s="165"/>
      <c r="I1125" s="165"/>
      <c r="J1125" s="165"/>
      <c r="K1125" s="165"/>
      <c r="L1125" s="165"/>
      <c r="M1125" s="165"/>
      <c r="N1125" s="165"/>
      <c r="O1125" s="166"/>
    </row>
    <row r="1126" ht="1.5" customHeight="1">
      <c r="A1126" s="155"/>
      <c r="B1126" s="156"/>
      <c r="C1126" s="157"/>
      <c r="D1126" s="158"/>
      <c r="E1126" s="159"/>
      <c r="F1126" s="159"/>
      <c r="G1126" s="159"/>
      <c r="H1126" s="159"/>
      <c r="I1126" s="159"/>
      <c r="J1126" s="159"/>
      <c r="K1126" s="159"/>
      <c r="L1126" s="159"/>
      <c r="M1126" s="159"/>
      <c r="N1126" s="159"/>
      <c r="O1126" s="160"/>
    </row>
    <row r="1127" ht="1.5" customHeight="1">
      <c r="A1127" s="161"/>
      <c r="B1127" s="162"/>
      <c r="C1127" s="163"/>
      <c r="D1127" s="164"/>
      <c r="E1127" s="165"/>
      <c r="F1127" s="165"/>
      <c r="G1127" s="165"/>
      <c r="H1127" s="165"/>
      <c r="I1127" s="165"/>
      <c r="J1127" s="165"/>
      <c r="K1127" s="165"/>
      <c r="L1127" s="165"/>
      <c r="M1127" s="165"/>
      <c r="N1127" s="165"/>
      <c r="O1127" s="166"/>
    </row>
    <row r="1128" ht="1.5" customHeight="1">
      <c r="A1128" s="155"/>
      <c r="B1128" s="156"/>
      <c r="C1128" s="157"/>
      <c r="D1128" s="158"/>
      <c r="E1128" s="159"/>
      <c r="F1128" s="159"/>
      <c r="G1128" s="159"/>
      <c r="H1128" s="159"/>
      <c r="I1128" s="159"/>
      <c r="J1128" s="159"/>
      <c r="K1128" s="159"/>
      <c r="L1128" s="159"/>
      <c r="M1128" s="159"/>
      <c r="N1128" s="159"/>
      <c r="O1128" s="160"/>
    </row>
    <row r="1129" ht="1.5" customHeight="1">
      <c r="A1129" s="161"/>
      <c r="B1129" s="162"/>
      <c r="C1129" s="163"/>
      <c r="D1129" s="164"/>
      <c r="E1129" s="165"/>
      <c r="F1129" s="165"/>
      <c r="G1129" s="165"/>
      <c r="H1129" s="165"/>
      <c r="I1129" s="165"/>
      <c r="J1129" s="165"/>
      <c r="K1129" s="165"/>
      <c r="L1129" s="165"/>
      <c r="M1129" s="165"/>
      <c r="N1129" s="165"/>
      <c r="O1129" s="166"/>
    </row>
    <row r="1130" ht="1.5" customHeight="1">
      <c r="A1130" s="155"/>
      <c r="B1130" s="156"/>
      <c r="C1130" s="157"/>
      <c r="D1130" s="158"/>
      <c r="E1130" s="159"/>
      <c r="F1130" s="159"/>
      <c r="G1130" s="159"/>
      <c r="H1130" s="159"/>
      <c r="I1130" s="159"/>
      <c r="J1130" s="159"/>
      <c r="K1130" s="159"/>
      <c r="L1130" s="159"/>
      <c r="M1130" s="159"/>
      <c r="N1130" s="159"/>
      <c r="O1130" s="160"/>
    </row>
    <row r="1131" ht="1.5" customHeight="1">
      <c r="A1131" s="161"/>
      <c r="B1131" s="162"/>
      <c r="C1131" s="163"/>
      <c r="D1131" s="164"/>
      <c r="E1131" s="165"/>
      <c r="F1131" s="165"/>
      <c r="G1131" s="165"/>
      <c r="H1131" s="165"/>
      <c r="I1131" s="165"/>
      <c r="J1131" s="165"/>
      <c r="K1131" s="165"/>
      <c r="L1131" s="165"/>
      <c r="M1131" s="165"/>
      <c r="N1131" s="165"/>
      <c r="O1131" s="166"/>
    </row>
    <row r="1132" ht="1.5" customHeight="1">
      <c r="A1132" s="155"/>
      <c r="B1132" s="156"/>
      <c r="C1132" s="157"/>
      <c r="D1132" s="158"/>
      <c r="E1132" s="159"/>
      <c r="F1132" s="159"/>
      <c r="G1132" s="159"/>
      <c r="H1132" s="159"/>
      <c r="I1132" s="159"/>
      <c r="J1132" s="159"/>
      <c r="K1132" s="159"/>
      <c r="L1132" s="159"/>
      <c r="M1132" s="159"/>
      <c r="N1132" s="159"/>
      <c r="O1132" s="160"/>
    </row>
    <row r="1133" ht="1.5" customHeight="1">
      <c r="A1133" s="161"/>
      <c r="B1133" s="162"/>
      <c r="C1133" s="163"/>
      <c r="D1133" s="164"/>
      <c r="E1133" s="165"/>
      <c r="F1133" s="165"/>
      <c r="G1133" s="165"/>
      <c r="H1133" s="165"/>
      <c r="I1133" s="165"/>
      <c r="J1133" s="165"/>
      <c r="K1133" s="165"/>
      <c r="L1133" s="165"/>
      <c r="M1133" s="165"/>
      <c r="N1133" s="165"/>
      <c r="O1133" s="166"/>
    </row>
    <row r="1134" ht="1.5" customHeight="1">
      <c r="A1134" s="155"/>
      <c r="B1134" s="156"/>
      <c r="C1134" s="157"/>
      <c r="D1134" s="158"/>
      <c r="E1134" s="159"/>
      <c r="F1134" s="159"/>
      <c r="G1134" s="159"/>
      <c r="H1134" s="159"/>
      <c r="I1134" s="159"/>
      <c r="J1134" s="159"/>
      <c r="K1134" s="159"/>
      <c r="L1134" s="159"/>
      <c r="M1134" s="159"/>
      <c r="N1134" s="159"/>
      <c r="O1134" s="160"/>
    </row>
    <row r="1135" ht="1.5" customHeight="1">
      <c r="A1135" s="161"/>
      <c r="B1135" s="162"/>
      <c r="C1135" s="163"/>
      <c r="D1135" s="164"/>
      <c r="E1135" s="165"/>
      <c r="F1135" s="165"/>
      <c r="G1135" s="165"/>
      <c r="H1135" s="165"/>
      <c r="I1135" s="165"/>
      <c r="J1135" s="165"/>
      <c r="K1135" s="165"/>
      <c r="L1135" s="165"/>
      <c r="M1135" s="165"/>
      <c r="N1135" s="165"/>
      <c r="O1135" s="166"/>
    </row>
    <row r="1136" ht="1.5" customHeight="1">
      <c r="A1136" s="155"/>
      <c r="B1136" s="156"/>
      <c r="C1136" s="157"/>
      <c r="D1136" s="158"/>
      <c r="E1136" s="159"/>
      <c r="F1136" s="159"/>
      <c r="G1136" s="159"/>
      <c r="H1136" s="159"/>
      <c r="I1136" s="159"/>
      <c r="J1136" s="159"/>
      <c r="K1136" s="159"/>
      <c r="L1136" s="159"/>
      <c r="M1136" s="159"/>
      <c r="N1136" s="159"/>
      <c r="O1136" s="160"/>
    </row>
    <row r="1137" ht="1.5" customHeight="1">
      <c r="A1137" s="161"/>
      <c r="B1137" s="162"/>
      <c r="C1137" s="163"/>
      <c r="D1137" s="164"/>
      <c r="E1137" s="165"/>
      <c r="F1137" s="165"/>
      <c r="G1137" s="165"/>
      <c r="H1137" s="165"/>
      <c r="I1137" s="165"/>
      <c r="J1137" s="165"/>
      <c r="K1137" s="165"/>
      <c r="L1137" s="165"/>
      <c r="M1137" s="165"/>
      <c r="N1137" s="165"/>
      <c r="O1137" s="166"/>
    </row>
    <row r="1138" ht="1.5" customHeight="1">
      <c r="A1138" s="155"/>
      <c r="B1138" s="156"/>
      <c r="C1138" s="157"/>
      <c r="D1138" s="158"/>
      <c r="E1138" s="159"/>
      <c r="F1138" s="159"/>
      <c r="G1138" s="159"/>
      <c r="H1138" s="159"/>
      <c r="I1138" s="159"/>
      <c r="J1138" s="159"/>
      <c r="K1138" s="159"/>
      <c r="L1138" s="159"/>
      <c r="M1138" s="159"/>
      <c r="N1138" s="159"/>
      <c r="O1138" s="160"/>
    </row>
    <row r="1139" ht="1.5" customHeight="1">
      <c r="A1139" s="161"/>
      <c r="B1139" s="162"/>
      <c r="C1139" s="163"/>
      <c r="D1139" s="164"/>
      <c r="E1139" s="165"/>
      <c r="F1139" s="165"/>
      <c r="G1139" s="165"/>
      <c r="H1139" s="165"/>
      <c r="I1139" s="165"/>
      <c r="J1139" s="165"/>
      <c r="K1139" s="165"/>
      <c r="L1139" s="165"/>
      <c r="M1139" s="165"/>
      <c r="N1139" s="165"/>
      <c r="O1139" s="166"/>
    </row>
    <row r="1140" ht="1.5" customHeight="1">
      <c r="A1140" s="155"/>
      <c r="B1140" s="156"/>
      <c r="C1140" s="157"/>
      <c r="D1140" s="158"/>
      <c r="E1140" s="159"/>
      <c r="F1140" s="159"/>
      <c r="G1140" s="159"/>
      <c r="H1140" s="159"/>
      <c r="I1140" s="159"/>
      <c r="J1140" s="159"/>
      <c r="K1140" s="159"/>
      <c r="L1140" s="159"/>
      <c r="M1140" s="159"/>
      <c r="N1140" s="159"/>
      <c r="O1140" s="160"/>
    </row>
    <row r="1141" ht="1.5" customHeight="1">
      <c r="A1141" s="161"/>
      <c r="B1141" s="162"/>
      <c r="C1141" s="163"/>
      <c r="D1141" s="164"/>
      <c r="E1141" s="165"/>
      <c r="F1141" s="165"/>
      <c r="G1141" s="165"/>
      <c r="H1141" s="165"/>
      <c r="I1141" s="165"/>
      <c r="J1141" s="165"/>
      <c r="K1141" s="165"/>
      <c r="L1141" s="165"/>
      <c r="M1141" s="165"/>
      <c r="N1141" s="165"/>
      <c r="O1141" s="166"/>
    </row>
    <row r="1142" ht="1.5" customHeight="1">
      <c r="A1142" s="155"/>
      <c r="B1142" s="156"/>
      <c r="C1142" s="157"/>
      <c r="D1142" s="158"/>
      <c r="E1142" s="159"/>
      <c r="F1142" s="159"/>
      <c r="G1142" s="159"/>
      <c r="H1142" s="159"/>
      <c r="I1142" s="159"/>
      <c r="J1142" s="159"/>
      <c r="K1142" s="159"/>
      <c r="L1142" s="159"/>
      <c r="M1142" s="159"/>
      <c r="N1142" s="159"/>
      <c r="O1142" s="160"/>
    </row>
    <row r="1143" ht="1.5" customHeight="1">
      <c r="A1143" s="161"/>
      <c r="B1143" s="162"/>
      <c r="C1143" s="163"/>
      <c r="D1143" s="164"/>
      <c r="E1143" s="165"/>
      <c r="F1143" s="165"/>
      <c r="G1143" s="165"/>
      <c r="H1143" s="165"/>
      <c r="I1143" s="165"/>
      <c r="J1143" s="165"/>
      <c r="K1143" s="165"/>
      <c r="L1143" s="165"/>
      <c r="M1143" s="165"/>
      <c r="N1143" s="165"/>
      <c r="O1143" s="166"/>
    </row>
    <row r="1144" ht="1.5" customHeight="1">
      <c r="A1144" s="155"/>
      <c r="B1144" s="156"/>
      <c r="C1144" s="157"/>
      <c r="D1144" s="158"/>
      <c r="E1144" s="159"/>
      <c r="F1144" s="159"/>
      <c r="G1144" s="159"/>
      <c r="H1144" s="159"/>
      <c r="I1144" s="159"/>
      <c r="J1144" s="159"/>
      <c r="K1144" s="159"/>
      <c r="L1144" s="159"/>
      <c r="M1144" s="159"/>
      <c r="N1144" s="159"/>
      <c r="O1144" s="160"/>
    </row>
    <row r="1145" ht="1.5" customHeight="1">
      <c r="A1145" s="161"/>
      <c r="B1145" s="162"/>
      <c r="C1145" s="163"/>
      <c r="D1145" s="164"/>
      <c r="E1145" s="165"/>
      <c r="F1145" s="165"/>
      <c r="G1145" s="165"/>
      <c r="H1145" s="165"/>
      <c r="I1145" s="165"/>
      <c r="J1145" s="165"/>
      <c r="K1145" s="165"/>
      <c r="L1145" s="165"/>
      <c r="M1145" s="165"/>
      <c r="N1145" s="165"/>
      <c r="O1145" s="166"/>
    </row>
    <row r="1146" ht="1.5" customHeight="1">
      <c r="A1146" s="155"/>
      <c r="B1146" s="156"/>
      <c r="C1146" s="157"/>
      <c r="D1146" s="158"/>
      <c r="E1146" s="159"/>
      <c r="F1146" s="159"/>
      <c r="G1146" s="159"/>
      <c r="H1146" s="159"/>
      <c r="I1146" s="159"/>
      <c r="J1146" s="159"/>
      <c r="K1146" s="159"/>
      <c r="L1146" s="159"/>
      <c r="M1146" s="159"/>
      <c r="N1146" s="159"/>
      <c r="O1146" s="160"/>
    </row>
    <row r="1147" ht="1.5" customHeight="1">
      <c r="A1147" s="161"/>
      <c r="B1147" s="162"/>
      <c r="C1147" s="163"/>
      <c r="D1147" s="164"/>
      <c r="E1147" s="165"/>
      <c r="F1147" s="165"/>
      <c r="G1147" s="165"/>
      <c r="H1147" s="165"/>
      <c r="I1147" s="165"/>
      <c r="J1147" s="165"/>
      <c r="K1147" s="165"/>
      <c r="L1147" s="165"/>
      <c r="M1147" s="165"/>
      <c r="N1147" s="165"/>
      <c r="O1147" s="166"/>
    </row>
    <row r="1148" ht="1.5" customHeight="1">
      <c r="A1148" s="155"/>
      <c r="B1148" s="156"/>
      <c r="C1148" s="157"/>
      <c r="D1148" s="158"/>
      <c r="E1148" s="159"/>
      <c r="F1148" s="159"/>
      <c r="G1148" s="159"/>
      <c r="H1148" s="159"/>
      <c r="I1148" s="159"/>
      <c r="J1148" s="159"/>
      <c r="K1148" s="159"/>
      <c r="L1148" s="159"/>
      <c r="M1148" s="159"/>
      <c r="N1148" s="159"/>
      <c r="O1148" s="160"/>
    </row>
    <row r="1149" ht="1.5" customHeight="1">
      <c r="A1149" s="161"/>
      <c r="B1149" s="162"/>
      <c r="C1149" s="163"/>
      <c r="D1149" s="164"/>
      <c r="E1149" s="165"/>
      <c r="F1149" s="165"/>
      <c r="G1149" s="165"/>
      <c r="H1149" s="165"/>
      <c r="I1149" s="165"/>
      <c r="J1149" s="165"/>
      <c r="K1149" s="165"/>
      <c r="L1149" s="165"/>
      <c r="M1149" s="165"/>
      <c r="N1149" s="165"/>
      <c r="O1149" s="166"/>
    </row>
    <row r="1150" ht="1.5" customHeight="1">
      <c r="A1150" s="155"/>
      <c r="B1150" s="156"/>
      <c r="C1150" s="157"/>
      <c r="D1150" s="158"/>
      <c r="E1150" s="159"/>
      <c r="F1150" s="159"/>
      <c r="G1150" s="159"/>
      <c r="H1150" s="159"/>
      <c r="I1150" s="159"/>
      <c r="J1150" s="159"/>
      <c r="K1150" s="159"/>
      <c r="L1150" s="159"/>
      <c r="M1150" s="159"/>
      <c r="N1150" s="159"/>
      <c r="O1150" s="160"/>
    </row>
    <row r="1151" ht="1.5" customHeight="1">
      <c r="A1151" s="161"/>
      <c r="B1151" s="162"/>
      <c r="C1151" s="163"/>
      <c r="D1151" s="164"/>
      <c r="E1151" s="165"/>
      <c r="F1151" s="165"/>
      <c r="G1151" s="165"/>
      <c r="H1151" s="165"/>
      <c r="I1151" s="165"/>
      <c r="J1151" s="165"/>
      <c r="K1151" s="165"/>
      <c r="L1151" s="165"/>
      <c r="M1151" s="165"/>
      <c r="N1151" s="165"/>
      <c r="O1151" s="166"/>
    </row>
    <row r="1152" ht="1.5" customHeight="1">
      <c r="A1152" s="155"/>
      <c r="B1152" s="156"/>
      <c r="C1152" s="157"/>
      <c r="D1152" s="158"/>
      <c r="E1152" s="159"/>
      <c r="F1152" s="159"/>
      <c r="G1152" s="159"/>
      <c r="H1152" s="159"/>
      <c r="I1152" s="159"/>
      <c r="J1152" s="159"/>
      <c r="K1152" s="159"/>
      <c r="L1152" s="159"/>
      <c r="M1152" s="159"/>
      <c r="N1152" s="159"/>
      <c r="O1152" s="160"/>
    </row>
    <row r="1153" ht="1.5" customHeight="1">
      <c r="A1153" s="161"/>
      <c r="B1153" s="162"/>
      <c r="C1153" s="163"/>
      <c r="D1153" s="164"/>
      <c r="E1153" s="165"/>
      <c r="F1153" s="165"/>
      <c r="G1153" s="165"/>
      <c r="H1153" s="165"/>
      <c r="I1153" s="165"/>
      <c r="J1153" s="165"/>
      <c r="K1153" s="165"/>
      <c r="L1153" s="165"/>
      <c r="M1153" s="165"/>
      <c r="N1153" s="165"/>
      <c r="O1153" s="166"/>
    </row>
    <row r="1154" ht="1.5" customHeight="1">
      <c r="A1154" s="155"/>
      <c r="B1154" s="156"/>
      <c r="C1154" s="157"/>
      <c r="D1154" s="158"/>
      <c r="E1154" s="159"/>
      <c r="F1154" s="159"/>
      <c r="G1154" s="159"/>
      <c r="H1154" s="159"/>
      <c r="I1154" s="159"/>
      <c r="J1154" s="159"/>
      <c r="K1154" s="159"/>
      <c r="L1154" s="159"/>
      <c r="M1154" s="159"/>
      <c r="N1154" s="159"/>
      <c r="O1154" s="160"/>
    </row>
    <row r="1155" ht="1.5" customHeight="1">
      <c r="A1155" s="161"/>
      <c r="B1155" s="162"/>
      <c r="C1155" s="163"/>
      <c r="D1155" s="164"/>
      <c r="E1155" s="165"/>
      <c r="F1155" s="165"/>
      <c r="G1155" s="165"/>
      <c r="H1155" s="165"/>
      <c r="I1155" s="165"/>
      <c r="J1155" s="165"/>
      <c r="K1155" s="165"/>
      <c r="L1155" s="165"/>
      <c r="M1155" s="165"/>
      <c r="N1155" s="165"/>
      <c r="O1155" s="166"/>
    </row>
    <row r="1156" ht="1.5" customHeight="1">
      <c r="A1156" s="155"/>
      <c r="B1156" s="156"/>
      <c r="C1156" s="157"/>
      <c r="D1156" s="158"/>
      <c r="E1156" s="159"/>
      <c r="F1156" s="159"/>
      <c r="G1156" s="159"/>
      <c r="H1156" s="159"/>
      <c r="I1156" s="159"/>
      <c r="J1156" s="159"/>
      <c r="K1156" s="159"/>
      <c r="L1156" s="159"/>
      <c r="M1156" s="159"/>
      <c r="N1156" s="159"/>
      <c r="O1156" s="160"/>
    </row>
    <row r="1157" ht="1.5" customHeight="1">
      <c r="A1157" s="161"/>
      <c r="B1157" s="162"/>
      <c r="C1157" s="163"/>
      <c r="D1157" s="164"/>
      <c r="E1157" s="165"/>
      <c r="F1157" s="165"/>
      <c r="G1157" s="165"/>
      <c r="H1157" s="165"/>
      <c r="I1157" s="165"/>
      <c r="J1157" s="165"/>
      <c r="K1157" s="165"/>
      <c r="L1157" s="165"/>
      <c r="M1157" s="165"/>
      <c r="N1157" s="165"/>
      <c r="O1157" s="166"/>
    </row>
    <row r="1158" ht="1.5" customHeight="1">
      <c r="A1158" s="155"/>
      <c r="B1158" s="156"/>
      <c r="C1158" s="157"/>
      <c r="D1158" s="158"/>
      <c r="E1158" s="159"/>
      <c r="F1158" s="159"/>
      <c r="G1158" s="159"/>
      <c r="H1158" s="159"/>
      <c r="I1158" s="159"/>
      <c r="J1158" s="159"/>
      <c r="K1158" s="159"/>
      <c r="L1158" s="159"/>
      <c r="M1158" s="159"/>
      <c r="N1158" s="159"/>
      <c r="O1158" s="160"/>
    </row>
    <row r="1159" ht="1.5" customHeight="1">
      <c r="A1159" s="161"/>
      <c r="B1159" s="162"/>
      <c r="C1159" s="163"/>
      <c r="D1159" s="164"/>
      <c r="E1159" s="165"/>
      <c r="F1159" s="165"/>
      <c r="G1159" s="165"/>
      <c r="H1159" s="165"/>
      <c r="I1159" s="165"/>
      <c r="J1159" s="165"/>
      <c r="K1159" s="165"/>
      <c r="L1159" s="165"/>
      <c r="M1159" s="165"/>
      <c r="N1159" s="165"/>
      <c r="O1159" s="166"/>
    </row>
    <row r="1160" ht="1.5" customHeight="1">
      <c r="A1160" s="155"/>
      <c r="B1160" s="156"/>
      <c r="C1160" s="157"/>
      <c r="D1160" s="158"/>
      <c r="E1160" s="159"/>
      <c r="F1160" s="159"/>
      <c r="G1160" s="159"/>
      <c r="H1160" s="159"/>
      <c r="I1160" s="159"/>
      <c r="J1160" s="159"/>
      <c r="K1160" s="159"/>
      <c r="L1160" s="159"/>
      <c r="M1160" s="159"/>
      <c r="N1160" s="159"/>
      <c r="O1160" s="160"/>
    </row>
    <row r="1161" ht="1.5" customHeight="1">
      <c r="A1161" s="161"/>
      <c r="B1161" s="162"/>
      <c r="C1161" s="163"/>
      <c r="D1161" s="164"/>
      <c r="E1161" s="165"/>
      <c r="F1161" s="165"/>
      <c r="G1161" s="165"/>
      <c r="H1161" s="165"/>
      <c r="I1161" s="165"/>
      <c r="J1161" s="165"/>
      <c r="K1161" s="165"/>
      <c r="L1161" s="165"/>
      <c r="M1161" s="165"/>
      <c r="N1161" s="165"/>
      <c r="O1161" s="166"/>
    </row>
    <row r="1162" ht="1.5" customHeight="1">
      <c r="A1162" s="155"/>
      <c r="B1162" s="156"/>
      <c r="C1162" s="157"/>
      <c r="D1162" s="158"/>
      <c r="E1162" s="159"/>
      <c r="F1162" s="159"/>
      <c r="G1162" s="159"/>
      <c r="H1162" s="159"/>
      <c r="I1162" s="159"/>
      <c r="J1162" s="159"/>
      <c r="K1162" s="159"/>
      <c r="L1162" s="159"/>
      <c r="M1162" s="159"/>
      <c r="N1162" s="159"/>
      <c r="O1162" s="160"/>
    </row>
    <row r="1163" ht="1.5" customHeight="1">
      <c r="A1163" s="161"/>
      <c r="B1163" s="162"/>
      <c r="C1163" s="163"/>
      <c r="D1163" s="164"/>
      <c r="E1163" s="165"/>
      <c r="F1163" s="165"/>
      <c r="G1163" s="165"/>
      <c r="H1163" s="165"/>
      <c r="I1163" s="165"/>
      <c r="J1163" s="165"/>
      <c r="K1163" s="165"/>
      <c r="L1163" s="165"/>
      <c r="M1163" s="165"/>
      <c r="N1163" s="165"/>
      <c r="O1163" s="166"/>
    </row>
    <row r="1164" ht="1.5" customHeight="1">
      <c r="A1164" s="155"/>
      <c r="B1164" s="156"/>
      <c r="C1164" s="157"/>
      <c r="D1164" s="158"/>
      <c r="E1164" s="159"/>
      <c r="F1164" s="159"/>
      <c r="G1164" s="159"/>
      <c r="H1164" s="159"/>
      <c r="I1164" s="159"/>
      <c r="J1164" s="159"/>
      <c r="K1164" s="159"/>
      <c r="L1164" s="159"/>
      <c r="M1164" s="159"/>
      <c r="N1164" s="159"/>
      <c r="O1164" s="160"/>
    </row>
    <row r="1165" ht="1.5" customHeight="1">
      <c r="A1165" s="161"/>
      <c r="B1165" s="162"/>
      <c r="C1165" s="163"/>
      <c r="D1165" s="164"/>
      <c r="E1165" s="165"/>
      <c r="F1165" s="165"/>
      <c r="G1165" s="165"/>
      <c r="H1165" s="165"/>
      <c r="I1165" s="165"/>
      <c r="J1165" s="165"/>
      <c r="K1165" s="165"/>
      <c r="L1165" s="165"/>
      <c r="M1165" s="165"/>
      <c r="N1165" s="165"/>
      <c r="O1165" s="166"/>
    </row>
    <row r="1166" ht="1.5" customHeight="1">
      <c r="A1166" s="155"/>
      <c r="B1166" s="156"/>
      <c r="C1166" s="157"/>
      <c r="D1166" s="158"/>
      <c r="E1166" s="159"/>
      <c r="F1166" s="159"/>
      <c r="G1166" s="159"/>
      <c r="H1166" s="159"/>
      <c r="I1166" s="159"/>
      <c r="J1166" s="159"/>
      <c r="K1166" s="159"/>
      <c r="L1166" s="159"/>
      <c r="M1166" s="159"/>
      <c r="N1166" s="159"/>
      <c r="O1166" s="160"/>
    </row>
    <row r="1167" ht="1.5" customHeight="1">
      <c r="A1167" s="161"/>
      <c r="B1167" s="162"/>
      <c r="C1167" s="163"/>
      <c r="D1167" s="164"/>
      <c r="E1167" s="165"/>
      <c r="F1167" s="165"/>
      <c r="G1167" s="165"/>
      <c r="H1167" s="165"/>
      <c r="I1167" s="165"/>
      <c r="J1167" s="165"/>
      <c r="K1167" s="165"/>
      <c r="L1167" s="165"/>
      <c r="M1167" s="165"/>
      <c r="N1167" s="165"/>
      <c r="O1167" s="166"/>
    </row>
    <row r="1168" ht="1.5" customHeight="1">
      <c r="A1168" s="155"/>
      <c r="B1168" s="156"/>
      <c r="C1168" s="157"/>
      <c r="D1168" s="158"/>
      <c r="E1168" s="159"/>
      <c r="F1168" s="159"/>
      <c r="G1168" s="159"/>
      <c r="H1168" s="159"/>
      <c r="I1168" s="159"/>
      <c r="J1168" s="159"/>
      <c r="K1168" s="159"/>
      <c r="L1168" s="159"/>
      <c r="M1168" s="159"/>
      <c r="N1168" s="159"/>
      <c r="O1168" s="160"/>
    </row>
    <row r="1169" ht="1.5" customHeight="1">
      <c r="A1169" s="161"/>
      <c r="B1169" s="162"/>
      <c r="C1169" s="163"/>
      <c r="D1169" s="164"/>
      <c r="E1169" s="165"/>
      <c r="F1169" s="165"/>
      <c r="G1169" s="165"/>
      <c r="H1169" s="165"/>
      <c r="I1169" s="165"/>
      <c r="J1169" s="165"/>
      <c r="K1169" s="165"/>
      <c r="L1169" s="165"/>
      <c r="M1169" s="165"/>
      <c r="N1169" s="165"/>
      <c r="O1169" s="166"/>
    </row>
    <row r="1170" ht="1.5" customHeight="1">
      <c r="A1170" s="155"/>
      <c r="B1170" s="156"/>
      <c r="C1170" s="157"/>
      <c r="D1170" s="158"/>
      <c r="E1170" s="159"/>
      <c r="F1170" s="159"/>
      <c r="G1170" s="159"/>
      <c r="H1170" s="159"/>
      <c r="I1170" s="159"/>
      <c r="J1170" s="159"/>
      <c r="K1170" s="159"/>
      <c r="L1170" s="159"/>
      <c r="M1170" s="159"/>
      <c r="N1170" s="159"/>
      <c r="O1170" s="160"/>
    </row>
    <row r="1171" ht="1.5" customHeight="1">
      <c r="A1171" s="161"/>
      <c r="B1171" s="162"/>
      <c r="C1171" s="163"/>
      <c r="D1171" s="164"/>
      <c r="E1171" s="165"/>
      <c r="F1171" s="165"/>
      <c r="G1171" s="165"/>
      <c r="H1171" s="165"/>
      <c r="I1171" s="165"/>
      <c r="J1171" s="165"/>
      <c r="K1171" s="165"/>
      <c r="L1171" s="165"/>
      <c r="M1171" s="165"/>
      <c r="N1171" s="165"/>
      <c r="O1171" s="166"/>
    </row>
    <row r="1172" ht="1.5" customHeight="1">
      <c r="A1172" s="155"/>
      <c r="B1172" s="156"/>
      <c r="C1172" s="157"/>
      <c r="D1172" s="158"/>
      <c r="E1172" s="159"/>
      <c r="F1172" s="159"/>
      <c r="G1172" s="159"/>
      <c r="H1172" s="159"/>
      <c r="I1172" s="159"/>
      <c r="J1172" s="159"/>
      <c r="K1172" s="159"/>
      <c r="L1172" s="159"/>
      <c r="M1172" s="159"/>
      <c r="N1172" s="159"/>
      <c r="O1172" s="160"/>
    </row>
    <row r="1173" ht="1.5" customHeight="1">
      <c r="A1173" s="161"/>
      <c r="B1173" s="162"/>
      <c r="C1173" s="163"/>
      <c r="D1173" s="164"/>
      <c r="E1173" s="165"/>
      <c r="F1173" s="165"/>
      <c r="G1173" s="165"/>
      <c r="H1173" s="165"/>
      <c r="I1173" s="165"/>
      <c r="J1173" s="165"/>
      <c r="K1173" s="165"/>
      <c r="L1173" s="165"/>
      <c r="M1173" s="165"/>
      <c r="N1173" s="165"/>
      <c r="O1173" s="166"/>
    </row>
    <row r="1174" ht="1.5" customHeight="1">
      <c r="A1174" s="155"/>
      <c r="B1174" s="156"/>
      <c r="C1174" s="157"/>
      <c r="D1174" s="158"/>
      <c r="E1174" s="159"/>
      <c r="F1174" s="159"/>
      <c r="G1174" s="159"/>
      <c r="H1174" s="159"/>
      <c r="I1174" s="159"/>
      <c r="J1174" s="159"/>
      <c r="K1174" s="159"/>
      <c r="L1174" s="159"/>
      <c r="M1174" s="159"/>
      <c r="N1174" s="159"/>
      <c r="O1174" s="160"/>
    </row>
    <row r="1175" ht="1.5" customHeight="1">
      <c r="A1175" s="161"/>
      <c r="B1175" s="162"/>
      <c r="C1175" s="163"/>
      <c r="D1175" s="164"/>
      <c r="E1175" s="165"/>
      <c r="F1175" s="165"/>
      <c r="G1175" s="165"/>
      <c r="H1175" s="165"/>
      <c r="I1175" s="165"/>
      <c r="J1175" s="165"/>
      <c r="K1175" s="165"/>
      <c r="L1175" s="165"/>
      <c r="M1175" s="165"/>
      <c r="N1175" s="165"/>
      <c r="O1175" s="166"/>
    </row>
    <row r="1176" ht="1.5" customHeight="1">
      <c r="A1176" s="155"/>
      <c r="B1176" s="156"/>
      <c r="C1176" s="157"/>
      <c r="D1176" s="158"/>
      <c r="E1176" s="159"/>
      <c r="F1176" s="159"/>
      <c r="G1176" s="159"/>
      <c r="H1176" s="159"/>
      <c r="I1176" s="159"/>
      <c r="J1176" s="159"/>
      <c r="K1176" s="159"/>
      <c r="L1176" s="159"/>
      <c r="M1176" s="159"/>
      <c r="N1176" s="159"/>
      <c r="O1176" s="160"/>
    </row>
    <row r="1177" ht="1.5" customHeight="1">
      <c r="A1177" s="161"/>
      <c r="B1177" s="162"/>
      <c r="C1177" s="163"/>
      <c r="D1177" s="164"/>
      <c r="E1177" s="165"/>
      <c r="F1177" s="165"/>
      <c r="G1177" s="165"/>
      <c r="H1177" s="165"/>
      <c r="I1177" s="165"/>
      <c r="J1177" s="165"/>
      <c r="K1177" s="165"/>
      <c r="L1177" s="165"/>
      <c r="M1177" s="165"/>
      <c r="N1177" s="165"/>
      <c r="O1177" s="166"/>
    </row>
    <row r="1178" ht="1.5" customHeight="1">
      <c r="A1178" s="155"/>
      <c r="B1178" s="156"/>
      <c r="C1178" s="157"/>
      <c r="D1178" s="158"/>
      <c r="E1178" s="159"/>
      <c r="F1178" s="159"/>
      <c r="G1178" s="159"/>
      <c r="H1178" s="159"/>
      <c r="I1178" s="159"/>
      <c r="J1178" s="159"/>
      <c r="K1178" s="159"/>
      <c r="L1178" s="159"/>
      <c r="M1178" s="159"/>
      <c r="N1178" s="159"/>
      <c r="O1178" s="160"/>
    </row>
    <row r="1179" ht="1.5" customHeight="1">
      <c r="A1179" s="161"/>
      <c r="B1179" s="162"/>
      <c r="C1179" s="163"/>
      <c r="D1179" s="164"/>
      <c r="E1179" s="165"/>
      <c r="F1179" s="165"/>
      <c r="G1179" s="165"/>
      <c r="H1179" s="165"/>
      <c r="I1179" s="165"/>
      <c r="J1179" s="165"/>
      <c r="K1179" s="165"/>
      <c r="L1179" s="165"/>
      <c r="M1179" s="165"/>
      <c r="N1179" s="165"/>
      <c r="O1179" s="166"/>
    </row>
    <row r="1180" ht="1.5" customHeight="1">
      <c r="A1180" s="155"/>
      <c r="B1180" s="156"/>
      <c r="C1180" s="157"/>
      <c r="D1180" s="158"/>
      <c r="E1180" s="159"/>
      <c r="F1180" s="159"/>
      <c r="G1180" s="159"/>
      <c r="H1180" s="159"/>
      <c r="I1180" s="159"/>
      <c r="J1180" s="159"/>
      <c r="K1180" s="159"/>
      <c r="L1180" s="159"/>
      <c r="M1180" s="159"/>
      <c r="N1180" s="159"/>
      <c r="O1180" s="160"/>
    </row>
    <row r="1181" ht="1.5" customHeight="1">
      <c r="A1181" s="161"/>
      <c r="B1181" s="162"/>
      <c r="C1181" s="163"/>
      <c r="D1181" s="164"/>
      <c r="E1181" s="165"/>
      <c r="F1181" s="165"/>
      <c r="G1181" s="165"/>
      <c r="H1181" s="165"/>
      <c r="I1181" s="165"/>
      <c r="J1181" s="165"/>
      <c r="K1181" s="165"/>
      <c r="L1181" s="165"/>
      <c r="M1181" s="165"/>
      <c r="N1181" s="165"/>
      <c r="O1181" s="166"/>
    </row>
    <row r="1182" ht="1.5" customHeight="1">
      <c r="A1182" s="155"/>
      <c r="B1182" s="156"/>
      <c r="C1182" s="157"/>
      <c r="D1182" s="158"/>
      <c r="E1182" s="159"/>
      <c r="F1182" s="159"/>
      <c r="G1182" s="159"/>
      <c r="H1182" s="159"/>
      <c r="I1182" s="159"/>
      <c r="J1182" s="159"/>
      <c r="K1182" s="159"/>
      <c r="L1182" s="159"/>
      <c r="M1182" s="159"/>
      <c r="N1182" s="159"/>
      <c r="O1182" s="160"/>
    </row>
    <row r="1183" ht="1.5" customHeight="1">
      <c r="A1183" s="161"/>
      <c r="B1183" s="162"/>
      <c r="C1183" s="163"/>
      <c r="D1183" s="164"/>
      <c r="E1183" s="165"/>
      <c r="F1183" s="165"/>
      <c r="G1183" s="165"/>
      <c r="H1183" s="165"/>
      <c r="I1183" s="165"/>
      <c r="J1183" s="165"/>
      <c r="K1183" s="165"/>
      <c r="L1183" s="165"/>
      <c r="M1183" s="165"/>
      <c r="N1183" s="165"/>
      <c r="O1183" s="166"/>
    </row>
    <row r="1184" ht="1.5" customHeight="1">
      <c r="A1184" s="155"/>
      <c r="B1184" s="156"/>
      <c r="C1184" s="157"/>
      <c r="D1184" s="158"/>
      <c r="E1184" s="159"/>
      <c r="F1184" s="159"/>
      <c r="G1184" s="159"/>
      <c r="H1184" s="159"/>
      <c r="I1184" s="159"/>
      <c r="J1184" s="159"/>
      <c r="K1184" s="159"/>
      <c r="L1184" s="159"/>
      <c r="M1184" s="159"/>
      <c r="N1184" s="159"/>
      <c r="O1184" s="160"/>
    </row>
    <row r="1185" ht="1.5" customHeight="1">
      <c r="A1185" s="161"/>
      <c r="B1185" s="162"/>
      <c r="C1185" s="163"/>
      <c r="D1185" s="164"/>
      <c r="E1185" s="165"/>
      <c r="F1185" s="165"/>
      <c r="G1185" s="165"/>
      <c r="H1185" s="165"/>
      <c r="I1185" s="165"/>
      <c r="J1185" s="165"/>
      <c r="K1185" s="165"/>
      <c r="L1185" s="165"/>
      <c r="M1185" s="165"/>
      <c r="N1185" s="165"/>
      <c r="O1185" s="166"/>
    </row>
    <row r="1186" ht="1.5" customHeight="1">
      <c r="A1186" s="155"/>
      <c r="B1186" s="156"/>
      <c r="C1186" s="157"/>
      <c r="D1186" s="158"/>
      <c r="E1186" s="159"/>
      <c r="F1186" s="159"/>
      <c r="G1186" s="159"/>
      <c r="H1186" s="159"/>
      <c r="I1186" s="159"/>
      <c r="J1186" s="159"/>
      <c r="K1186" s="159"/>
      <c r="L1186" s="159"/>
      <c r="M1186" s="159"/>
      <c r="N1186" s="159"/>
      <c r="O1186" s="160"/>
    </row>
    <row r="1187" ht="1.5" customHeight="1">
      <c r="A1187" s="161"/>
      <c r="B1187" s="162"/>
      <c r="C1187" s="163"/>
      <c r="D1187" s="164"/>
      <c r="E1187" s="165"/>
      <c r="F1187" s="165"/>
      <c r="G1187" s="165"/>
      <c r="H1187" s="165"/>
      <c r="I1187" s="165"/>
      <c r="J1187" s="165"/>
      <c r="K1187" s="165"/>
      <c r="L1187" s="165"/>
      <c r="M1187" s="165"/>
      <c r="N1187" s="165"/>
      <c r="O1187" s="166"/>
    </row>
    <row r="1188" ht="1.5" customHeight="1">
      <c r="A1188" s="155"/>
      <c r="B1188" s="156"/>
      <c r="C1188" s="157"/>
      <c r="D1188" s="158"/>
      <c r="E1188" s="159"/>
      <c r="F1188" s="159"/>
      <c r="G1188" s="159"/>
      <c r="H1188" s="159"/>
      <c r="I1188" s="159"/>
      <c r="J1188" s="159"/>
      <c r="K1188" s="159"/>
      <c r="L1188" s="159"/>
      <c r="M1188" s="159"/>
      <c r="N1188" s="159"/>
      <c r="O1188" s="160"/>
    </row>
    <row r="1189" ht="1.5" customHeight="1">
      <c r="A1189" s="161"/>
      <c r="B1189" s="162"/>
      <c r="C1189" s="163"/>
      <c r="D1189" s="164"/>
      <c r="E1189" s="165"/>
      <c r="F1189" s="165"/>
      <c r="G1189" s="165"/>
      <c r="H1189" s="165"/>
      <c r="I1189" s="165"/>
      <c r="J1189" s="165"/>
      <c r="K1189" s="165"/>
      <c r="L1189" s="165"/>
      <c r="M1189" s="165"/>
      <c r="N1189" s="165"/>
      <c r="O1189" s="166"/>
    </row>
    <row r="1190" ht="1.5" customHeight="1">
      <c r="A1190" s="155"/>
      <c r="B1190" s="156"/>
      <c r="C1190" s="157"/>
      <c r="D1190" s="158"/>
      <c r="E1190" s="159"/>
      <c r="F1190" s="159"/>
      <c r="G1190" s="159"/>
      <c r="H1190" s="159"/>
      <c r="I1190" s="159"/>
      <c r="J1190" s="159"/>
      <c r="K1190" s="159"/>
      <c r="L1190" s="159"/>
      <c r="M1190" s="159"/>
      <c r="N1190" s="159"/>
      <c r="O1190" s="160"/>
    </row>
    <row r="1191" ht="1.5" customHeight="1">
      <c r="A1191" s="161"/>
      <c r="B1191" s="162"/>
      <c r="C1191" s="163"/>
      <c r="D1191" s="164"/>
      <c r="E1191" s="165"/>
      <c r="F1191" s="165"/>
      <c r="G1191" s="165"/>
      <c r="H1191" s="165"/>
      <c r="I1191" s="165"/>
      <c r="J1191" s="165"/>
      <c r="K1191" s="165"/>
      <c r="L1191" s="165"/>
      <c r="M1191" s="165"/>
      <c r="N1191" s="165"/>
      <c r="O1191" s="166"/>
    </row>
    <row r="1192" ht="1.5" customHeight="1">
      <c r="A1192" s="155"/>
      <c r="B1192" s="156"/>
      <c r="C1192" s="157"/>
      <c r="D1192" s="158"/>
      <c r="E1192" s="159"/>
      <c r="F1192" s="159"/>
      <c r="G1192" s="159"/>
      <c r="H1192" s="159"/>
      <c r="I1192" s="159"/>
      <c r="J1192" s="159"/>
      <c r="K1192" s="159"/>
      <c r="L1192" s="159"/>
      <c r="M1192" s="159"/>
      <c r="N1192" s="159"/>
      <c r="O1192" s="160"/>
    </row>
    <row r="1193" ht="1.5" customHeight="1">
      <c r="A1193" s="161"/>
      <c r="B1193" s="162"/>
      <c r="C1193" s="163"/>
      <c r="D1193" s="164"/>
      <c r="E1193" s="165"/>
      <c r="F1193" s="165"/>
      <c r="G1193" s="165"/>
      <c r="H1193" s="165"/>
      <c r="I1193" s="165"/>
      <c r="J1193" s="165"/>
      <c r="K1193" s="165"/>
      <c r="L1193" s="165"/>
      <c r="M1193" s="165"/>
      <c r="N1193" s="165"/>
      <c r="O1193" s="166"/>
    </row>
    <row r="1194" ht="1.5" customHeight="1">
      <c r="A1194" s="155"/>
      <c r="B1194" s="156"/>
      <c r="C1194" s="157"/>
      <c r="D1194" s="158"/>
      <c r="E1194" s="159"/>
      <c r="F1194" s="159"/>
      <c r="G1194" s="159"/>
      <c r="H1194" s="159"/>
      <c r="I1194" s="159"/>
      <c r="J1194" s="159"/>
      <c r="K1194" s="159"/>
      <c r="L1194" s="159"/>
      <c r="M1194" s="159"/>
      <c r="N1194" s="159"/>
      <c r="O1194" s="160"/>
    </row>
    <row r="1195" ht="1.5" customHeight="1">
      <c r="A1195" s="161"/>
      <c r="B1195" s="162"/>
      <c r="C1195" s="163"/>
      <c r="D1195" s="164"/>
      <c r="E1195" s="165"/>
      <c r="F1195" s="165"/>
      <c r="G1195" s="165"/>
      <c r="H1195" s="165"/>
      <c r="I1195" s="165"/>
      <c r="J1195" s="165"/>
      <c r="K1195" s="165"/>
      <c r="L1195" s="165"/>
      <c r="M1195" s="165"/>
      <c r="N1195" s="165"/>
      <c r="O1195" s="166"/>
    </row>
    <row r="1196" ht="1.5" customHeight="1">
      <c r="A1196" s="155"/>
      <c r="B1196" s="156"/>
      <c r="C1196" s="157"/>
      <c r="D1196" s="158"/>
      <c r="E1196" s="159"/>
      <c r="F1196" s="159"/>
      <c r="G1196" s="159"/>
      <c r="H1196" s="159"/>
      <c r="I1196" s="159"/>
      <c r="J1196" s="159"/>
      <c r="K1196" s="159"/>
      <c r="L1196" s="159"/>
      <c r="M1196" s="159"/>
      <c r="N1196" s="159"/>
      <c r="O1196" s="160"/>
    </row>
    <row r="1197" ht="1.5" customHeight="1">
      <c r="A1197" s="161"/>
      <c r="B1197" s="162"/>
      <c r="C1197" s="163"/>
      <c r="D1197" s="164"/>
      <c r="E1197" s="165"/>
      <c r="F1197" s="165"/>
      <c r="G1197" s="165"/>
      <c r="H1197" s="165"/>
      <c r="I1197" s="165"/>
      <c r="J1197" s="165"/>
      <c r="K1197" s="165"/>
      <c r="L1197" s="165"/>
      <c r="M1197" s="165"/>
      <c r="N1197" s="165"/>
      <c r="O1197" s="166"/>
    </row>
    <row r="1198" ht="1.5" customHeight="1">
      <c r="A1198" s="155"/>
      <c r="B1198" s="156"/>
      <c r="C1198" s="157"/>
      <c r="D1198" s="158"/>
      <c r="E1198" s="159"/>
      <c r="F1198" s="159"/>
      <c r="G1198" s="159"/>
      <c r="H1198" s="159"/>
      <c r="I1198" s="159"/>
      <c r="J1198" s="159"/>
      <c r="K1198" s="159"/>
      <c r="L1198" s="159"/>
      <c r="M1198" s="159"/>
      <c r="N1198" s="159"/>
      <c r="O1198" s="160"/>
    </row>
    <row r="1199" ht="1.5" customHeight="1">
      <c r="A1199" s="161"/>
      <c r="B1199" s="162"/>
      <c r="C1199" s="163"/>
      <c r="D1199" s="164"/>
      <c r="E1199" s="165"/>
      <c r="F1199" s="165"/>
      <c r="G1199" s="165"/>
      <c r="H1199" s="165"/>
      <c r="I1199" s="165"/>
      <c r="J1199" s="165"/>
      <c r="K1199" s="165"/>
      <c r="L1199" s="165"/>
      <c r="M1199" s="165"/>
      <c r="N1199" s="165"/>
      <c r="O1199" s="166"/>
    </row>
    <row r="1200" ht="1.5" customHeight="1">
      <c r="A1200" s="155"/>
      <c r="B1200" s="156"/>
      <c r="C1200" s="157"/>
      <c r="D1200" s="158"/>
      <c r="E1200" s="159"/>
      <c r="F1200" s="159"/>
      <c r="G1200" s="159"/>
      <c r="H1200" s="159"/>
      <c r="I1200" s="159"/>
      <c r="J1200" s="159"/>
      <c r="K1200" s="159"/>
      <c r="L1200" s="159"/>
      <c r="M1200" s="159"/>
      <c r="N1200" s="159"/>
      <c r="O1200" s="160"/>
    </row>
    <row r="1201" ht="1.5" customHeight="1">
      <c r="A1201" s="161"/>
      <c r="B1201" s="162"/>
      <c r="C1201" s="163"/>
      <c r="D1201" s="164"/>
      <c r="E1201" s="165"/>
      <c r="F1201" s="165"/>
      <c r="G1201" s="165"/>
      <c r="H1201" s="165"/>
      <c r="I1201" s="165"/>
      <c r="J1201" s="165"/>
      <c r="K1201" s="165"/>
      <c r="L1201" s="165"/>
      <c r="M1201" s="165"/>
      <c r="N1201" s="165"/>
      <c r="O1201" s="166"/>
    </row>
    <row r="1202" ht="1.5" customHeight="1">
      <c r="A1202" s="155"/>
      <c r="B1202" s="156"/>
      <c r="C1202" s="157"/>
      <c r="D1202" s="158"/>
      <c r="E1202" s="159"/>
      <c r="F1202" s="159"/>
      <c r="G1202" s="159"/>
      <c r="H1202" s="159"/>
      <c r="I1202" s="159"/>
      <c r="J1202" s="159"/>
      <c r="K1202" s="159"/>
      <c r="L1202" s="159"/>
      <c r="M1202" s="159"/>
      <c r="N1202" s="159"/>
      <c r="O1202" s="160"/>
    </row>
    <row r="1203" ht="1.5" customHeight="1">
      <c r="A1203" s="161"/>
      <c r="B1203" s="162"/>
      <c r="C1203" s="163"/>
      <c r="D1203" s="164"/>
      <c r="E1203" s="165"/>
      <c r="F1203" s="165"/>
      <c r="G1203" s="165"/>
      <c r="H1203" s="165"/>
      <c r="I1203" s="165"/>
      <c r="J1203" s="165"/>
      <c r="K1203" s="165"/>
      <c r="L1203" s="165"/>
      <c r="M1203" s="165"/>
      <c r="N1203" s="165"/>
      <c r="O1203" s="166"/>
    </row>
    <row r="1204" ht="1.5" customHeight="1">
      <c r="A1204" s="155"/>
      <c r="B1204" s="156"/>
      <c r="C1204" s="157"/>
      <c r="D1204" s="158"/>
      <c r="E1204" s="159"/>
      <c r="F1204" s="159"/>
      <c r="G1204" s="159"/>
      <c r="H1204" s="159"/>
      <c r="I1204" s="159"/>
      <c r="J1204" s="159"/>
      <c r="K1204" s="159"/>
      <c r="L1204" s="159"/>
      <c r="M1204" s="159"/>
      <c r="N1204" s="159"/>
      <c r="O1204" s="160"/>
    </row>
    <row r="1205" ht="1.5" customHeight="1">
      <c r="A1205" s="161"/>
      <c r="B1205" s="162"/>
      <c r="C1205" s="163"/>
      <c r="D1205" s="164"/>
      <c r="E1205" s="165"/>
      <c r="F1205" s="165"/>
      <c r="G1205" s="165"/>
      <c r="H1205" s="165"/>
      <c r="I1205" s="165"/>
      <c r="J1205" s="165"/>
      <c r="K1205" s="165"/>
      <c r="L1205" s="165"/>
      <c r="M1205" s="165"/>
      <c r="N1205" s="165"/>
      <c r="O1205" s="166"/>
    </row>
    <row r="1206" ht="1.5" customHeight="1">
      <c r="A1206" s="155"/>
      <c r="B1206" s="156"/>
      <c r="C1206" s="157"/>
      <c r="D1206" s="158"/>
      <c r="E1206" s="159"/>
      <c r="F1206" s="159"/>
      <c r="G1206" s="159"/>
      <c r="H1206" s="159"/>
      <c r="I1206" s="159"/>
      <c r="J1206" s="159"/>
      <c r="K1206" s="159"/>
      <c r="L1206" s="159"/>
      <c r="M1206" s="159"/>
      <c r="N1206" s="159"/>
      <c r="O1206" s="160"/>
    </row>
    <row r="1207" ht="1.5" customHeight="1">
      <c r="A1207" s="161"/>
      <c r="B1207" s="162"/>
      <c r="C1207" s="163"/>
      <c r="D1207" s="164"/>
      <c r="E1207" s="165"/>
      <c r="F1207" s="165"/>
      <c r="G1207" s="165"/>
      <c r="H1207" s="165"/>
      <c r="I1207" s="165"/>
      <c r="J1207" s="165"/>
      <c r="K1207" s="165"/>
      <c r="L1207" s="165"/>
      <c r="M1207" s="165"/>
      <c r="N1207" s="165"/>
      <c r="O1207" s="166"/>
    </row>
    <row r="1208" ht="1.5" customHeight="1">
      <c r="A1208" s="155"/>
      <c r="B1208" s="156"/>
      <c r="C1208" s="157"/>
      <c r="D1208" s="158"/>
      <c r="E1208" s="159"/>
      <c r="F1208" s="159"/>
      <c r="G1208" s="159"/>
      <c r="H1208" s="159"/>
      <c r="I1208" s="159"/>
      <c r="J1208" s="159"/>
      <c r="K1208" s="159"/>
      <c r="L1208" s="159"/>
      <c r="M1208" s="159"/>
      <c r="N1208" s="159"/>
      <c r="O1208" s="160"/>
    </row>
    <row r="1209" ht="1.5" customHeight="1">
      <c r="A1209" s="161"/>
      <c r="B1209" s="162"/>
      <c r="C1209" s="163"/>
      <c r="D1209" s="164"/>
      <c r="E1209" s="165"/>
      <c r="F1209" s="165"/>
      <c r="G1209" s="165"/>
      <c r="H1209" s="165"/>
      <c r="I1209" s="165"/>
      <c r="J1209" s="165"/>
      <c r="K1209" s="165"/>
      <c r="L1209" s="165"/>
      <c r="M1209" s="165"/>
      <c r="N1209" s="165"/>
      <c r="O1209" s="166"/>
    </row>
    <row r="1210" ht="1.5" customHeight="1">
      <c r="A1210" s="155"/>
      <c r="B1210" s="156"/>
      <c r="C1210" s="157"/>
      <c r="D1210" s="158"/>
      <c r="E1210" s="159"/>
      <c r="F1210" s="159"/>
      <c r="G1210" s="159"/>
      <c r="H1210" s="159"/>
      <c r="I1210" s="159"/>
      <c r="J1210" s="159"/>
      <c r="K1210" s="159"/>
      <c r="L1210" s="159"/>
      <c r="M1210" s="159"/>
      <c r="N1210" s="159"/>
      <c r="O1210" s="160"/>
    </row>
    <row r="1211" ht="1.5" customHeight="1">
      <c r="A1211" s="161"/>
      <c r="B1211" s="162"/>
      <c r="C1211" s="163"/>
      <c r="D1211" s="164"/>
      <c r="E1211" s="165"/>
      <c r="F1211" s="165"/>
      <c r="G1211" s="165"/>
      <c r="H1211" s="165"/>
      <c r="I1211" s="165"/>
      <c r="J1211" s="165"/>
      <c r="K1211" s="165"/>
      <c r="L1211" s="165"/>
      <c r="M1211" s="165"/>
      <c r="N1211" s="165"/>
      <c r="O1211" s="166"/>
    </row>
    <row r="1212" ht="1.5" customHeight="1">
      <c r="A1212" s="155"/>
      <c r="B1212" s="156"/>
      <c r="C1212" s="157"/>
      <c r="D1212" s="158"/>
      <c r="E1212" s="159"/>
      <c r="F1212" s="159"/>
      <c r="G1212" s="159"/>
      <c r="H1212" s="159"/>
      <c r="I1212" s="159"/>
      <c r="J1212" s="159"/>
      <c r="K1212" s="159"/>
      <c r="L1212" s="159"/>
      <c r="M1212" s="159"/>
      <c r="N1212" s="159"/>
      <c r="O1212" s="160"/>
    </row>
    <row r="1213" ht="1.5" customHeight="1">
      <c r="A1213" s="161"/>
      <c r="B1213" s="162"/>
      <c r="C1213" s="163"/>
      <c r="D1213" s="164"/>
      <c r="E1213" s="165"/>
      <c r="F1213" s="165"/>
      <c r="G1213" s="165"/>
      <c r="H1213" s="165"/>
      <c r="I1213" s="165"/>
      <c r="J1213" s="165"/>
      <c r="K1213" s="165"/>
      <c r="L1213" s="165"/>
      <c r="M1213" s="165"/>
      <c r="N1213" s="165"/>
      <c r="O1213" s="166"/>
    </row>
    <row r="1214" ht="1.5" customHeight="1">
      <c r="A1214" s="155"/>
      <c r="B1214" s="156"/>
      <c r="C1214" s="157"/>
      <c r="D1214" s="158"/>
      <c r="E1214" s="159"/>
      <c r="F1214" s="159"/>
      <c r="G1214" s="159"/>
      <c r="H1214" s="159"/>
      <c r="I1214" s="159"/>
      <c r="J1214" s="159"/>
      <c r="K1214" s="159"/>
      <c r="L1214" s="159"/>
      <c r="M1214" s="159"/>
      <c r="N1214" s="159"/>
      <c r="O1214" s="160"/>
    </row>
    <row r="1215" ht="1.5" customHeight="1">
      <c r="A1215" s="161"/>
      <c r="B1215" s="162"/>
      <c r="C1215" s="163"/>
      <c r="D1215" s="164"/>
      <c r="E1215" s="165"/>
      <c r="F1215" s="165"/>
      <c r="G1215" s="165"/>
      <c r="H1215" s="165"/>
      <c r="I1215" s="165"/>
      <c r="J1215" s="165"/>
      <c r="K1215" s="165"/>
      <c r="L1215" s="165"/>
      <c r="M1215" s="165"/>
      <c r="N1215" s="165"/>
      <c r="O1215" s="166"/>
    </row>
    <row r="1216" ht="1.5" customHeight="1">
      <c r="A1216" s="155"/>
      <c r="B1216" s="156"/>
      <c r="C1216" s="157"/>
      <c r="D1216" s="158"/>
      <c r="E1216" s="159"/>
      <c r="F1216" s="159"/>
      <c r="G1216" s="159"/>
      <c r="H1216" s="159"/>
      <c r="I1216" s="159"/>
      <c r="J1216" s="159"/>
      <c r="K1216" s="159"/>
      <c r="L1216" s="159"/>
      <c r="M1216" s="159"/>
      <c r="N1216" s="159"/>
      <c r="O1216" s="160"/>
    </row>
    <row r="1217" ht="1.5" customHeight="1">
      <c r="A1217" s="161"/>
      <c r="B1217" s="162"/>
      <c r="C1217" s="163"/>
      <c r="D1217" s="164"/>
      <c r="E1217" s="165"/>
      <c r="F1217" s="165"/>
      <c r="G1217" s="165"/>
      <c r="H1217" s="165"/>
      <c r="I1217" s="165"/>
      <c r="J1217" s="165"/>
      <c r="K1217" s="165"/>
      <c r="L1217" s="165"/>
      <c r="M1217" s="165"/>
      <c r="N1217" s="165"/>
      <c r="O1217" s="166"/>
    </row>
    <row r="1218" ht="1.5" customHeight="1">
      <c r="A1218" s="155"/>
      <c r="B1218" s="156"/>
      <c r="C1218" s="157"/>
      <c r="D1218" s="158"/>
      <c r="E1218" s="159"/>
      <c r="F1218" s="159"/>
      <c r="G1218" s="159"/>
      <c r="H1218" s="159"/>
      <c r="I1218" s="159"/>
      <c r="J1218" s="159"/>
      <c r="K1218" s="159"/>
      <c r="L1218" s="159"/>
      <c r="M1218" s="159"/>
      <c r="N1218" s="159"/>
      <c r="O1218" s="160"/>
    </row>
    <row r="1219" ht="1.5" customHeight="1">
      <c r="A1219" s="161"/>
      <c r="B1219" s="162"/>
      <c r="C1219" s="163"/>
      <c r="D1219" s="164"/>
      <c r="E1219" s="165"/>
      <c r="F1219" s="165"/>
      <c r="G1219" s="165"/>
      <c r="H1219" s="165"/>
      <c r="I1219" s="165"/>
      <c r="J1219" s="165"/>
      <c r="K1219" s="165"/>
      <c r="L1219" s="165"/>
      <c r="M1219" s="165"/>
      <c r="N1219" s="165"/>
      <c r="O1219" s="166"/>
    </row>
    <row r="1220" ht="1.5" customHeight="1">
      <c r="A1220" s="155"/>
      <c r="B1220" s="156"/>
      <c r="C1220" s="157"/>
      <c r="D1220" s="158"/>
      <c r="E1220" s="159"/>
      <c r="F1220" s="159"/>
      <c r="G1220" s="159"/>
      <c r="H1220" s="159"/>
      <c r="I1220" s="159"/>
      <c r="J1220" s="159"/>
      <c r="K1220" s="159"/>
      <c r="L1220" s="159"/>
      <c r="M1220" s="159"/>
      <c r="N1220" s="159"/>
      <c r="O1220" s="160"/>
    </row>
    <row r="1221" ht="1.5" customHeight="1">
      <c r="A1221" s="161"/>
      <c r="B1221" s="162"/>
      <c r="C1221" s="163"/>
      <c r="D1221" s="164"/>
      <c r="E1221" s="165"/>
      <c r="F1221" s="165"/>
      <c r="G1221" s="165"/>
      <c r="H1221" s="165"/>
      <c r="I1221" s="165"/>
      <c r="J1221" s="165"/>
      <c r="K1221" s="165"/>
      <c r="L1221" s="165"/>
      <c r="M1221" s="165"/>
      <c r="N1221" s="165"/>
      <c r="O1221" s="166"/>
    </row>
    <row r="1222" ht="1.5" customHeight="1">
      <c r="A1222" s="155"/>
      <c r="B1222" s="156"/>
      <c r="C1222" s="157"/>
      <c r="D1222" s="158"/>
      <c r="E1222" s="159"/>
      <c r="F1222" s="159"/>
      <c r="G1222" s="159"/>
      <c r="H1222" s="159"/>
      <c r="I1222" s="159"/>
      <c r="J1222" s="159"/>
      <c r="K1222" s="159"/>
      <c r="L1222" s="159"/>
      <c r="M1222" s="159"/>
      <c r="N1222" s="159"/>
      <c r="O1222" s="160"/>
    </row>
    <row r="1223" ht="1.5" customHeight="1">
      <c r="A1223" s="161"/>
      <c r="B1223" s="162"/>
      <c r="C1223" s="163"/>
      <c r="D1223" s="164"/>
      <c r="E1223" s="165"/>
      <c r="F1223" s="165"/>
      <c r="G1223" s="165"/>
      <c r="H1223" s="165"/>
      <c r="I1223" s="165"/>
      <c r="J1223" s="165"/>
      <c r="K1223" s="165"/>
      <c r="L1223" s="165"/>
      <c r="M1223" s="165"/>
      <c r="N1223" s="165"/>
      <c r="O1223" s="166"/>
    </row>
    <row r="1224" ht="1.5" customHeight="1">
      <c r="A1224" s="155"/>
      <c r="B1224" s="156"/>
      <c r="C1224" s="157"/>
      <c r="D1224" s="158"/>
      <c r="E1224" s="159"/>
      <c r="F1224" s="159"/>
      <c r="G1224" s="159"/>
      <c r="H1224" s="159"/>
      <c r="I1224" s="159"/>
      <c r="J1224" s="159"/>
      <c r="K1224" s="159"/>
      <c r="L1224" s="159"/>
      <c r="M1224" s="159"/>
      <c r="N1224" s="159"/>
      <c r="O1224" s="160"/>
    </row>
    <row r="1225" ht="1.5" customHeight="1">
      <c r="A1225" s="161"/>
      <c r="B1225" s="162"/>
      <c r="C1225" s="163"/>
      <c r="D1225" s="164"/>
      <c r="E1225" s="165"/>
      <c r="F1225" s="165"/>
      <c r="G1225" s="165"/>
      <c r="H1225" s="165"/>
      <c r="I1225" s="165"/>
      <c r="J1225" s="165"/>
      <c r="K1225" s="165"/>
      <c r="L1225" s="165"/>
      <c r="M1225" s="165"/>
      <c r="N1225" s="165"/>
      <c r="O1225" s="166"/>
    </row>
    <row r="1226" ht="1.5" customHeight="1">
      <c r="A1226" s="155"/>
      <c r="B1226" s="156"/>
      <c r="C1226" s="157"/>
      <c r="D1226" s="158"/>
      <c r="E1226" s="159"/>
      <c r="F1226" s="159"/>
      <c r="G1226" s="159"/>
      <c r="H1226" s="159"/>
      <c r="I1226" s="159"/>
      <c r="J1226" s="159"/>
      <c r="K1226" s="159"/>
      <c r="L1226" s="159"/>
      <c r="M1226" s="159"/>
      <c r="N1226" s="159"/>
      <c r="O1226" s="160"/>
    </row>
    <row r="1227" ht="1.5" customHeight="1">
      <c r="A1227" s="161"/>
      <c r="B1227" s="162"/>
      <c r="C1227" s="163"/>
      <c r="D1227" s="164"/>
      <c r="E1227" s="165"/>
      <c r="F1227" s="165"/>
      <c r="G1227" s="165"/>
      <c r="H1227" s="165"/>
      <c r="I1227" s="165"/>
      <c r="J1227" s="165"/>
      <c r="K1227" s="165"/>
      <c r="L1227" s="165"/>
      <c r="M1227" s="165"/>
      <c r="N1227" s="165"/>
      <c r="O1227" s="166"/>
    </row>
    <row r="1228" ht="1.5" customHeight="1">
      <c r="A1228" s="155"/>
      <c r="B1228" s="156"/>
      <c r="C1228" s="157"/>
      <c r="D1228" s="158"/>
      <c r="E1228" s="159"/>
      <c r="F1228" s="159"/>
      <c r="G1228" s="159"/>
      <c r="H1228" s="159"/>
      <c r="I1228" s="159"/>
      <c r="J1228" s="159"/>
      <c r="K1228" s="159"/>
      <c r="L1228" s="159"/>
      <c r="M1228" s="159"/>
      <c r="N1228" s="159"/>
      <c r="O1228" s="160"/>
    </row>
    <row r="1229" ht="1.5" customHeight="1">
      <c r="A1229" s="161"/>
      <c r="B1229" s="162"/>
      <c r="C1229" s="163"/>
      <c r="D1229" s="164"/>
      <c r="E1229" s="165"/>
      <c r="F1229" s="165"/>
      <c r="G1229" s="165"/>
      <c r="H1229" s="165"/>
      <c r="I1229" s="165"/>
      <c r="J1229" s="165"/>
      <c r="K1229" s="165"/>
      <c r="L1229" s="165"/>
      <c r="M1229" s="165"/>
      <c r="N1229" s="165"/>
      <c r="O1229" s="166"/>
    </row>
    <row r="1230" ht="1.5" customHeight="1">
      <c r="A1230" s="155"/>
      <c r="B1230" s="156"/>
      <c r="C1230" s="157"/>
      <c r="D1230" s="158"/>
      <c r="E1230" s="159"/>
      <c r="F1230" s="159"/>
      <c r="G1230" s="159"/>
      <c r="H1230" s="159"/>
      <c r="I1230" s="159"/>
      <c r="J1230" s="159"/>
      <c r="K1230" s="159"/>
      <c r="L1230" s="159"/>
      <c r="M1230" s="159"/>
      <c r="N1230" s="159"/>
      <c r="O1230" s="160"/>
    </row>
    <row r="1231" ht="1.5" customHeight="1">
      <c r="A1231" s="161"/>
      <c r="B1231" s="162"/>
      <c r="C1231" s="163"/>
      <c r="D1231" s="164"/>
      <c r="E1231" s="165"/>
      <c r="F1231" s="165"/>
      <c r="G1231" s="165"/>
      <c r="H1231" s="165"/>
      <c r="I1231" s="165"/>
      <c r="J1231" s="165"/>
      <c r="K1231" s="165"/>
      <c r="L1231" s="165"/>
      <c r="M1231" s="165"/>
      <c r="N1231" s="165"/>
      <c r="O1231" s="166"/>
    </row>
    <row r="1232" ht="1.5" customHeight="1">
      <c r="A1232" s="155"/>
      <c r="B1232" s="156"/>
      <c r="C1232" s="157"/>
      <c r="D1232" s="158"/>
      <c r="E1232" s="159"/>
      <c r="F1232" s="159"/>
      <c r="G1232" s="159"/>
      <c r="H1232" s="159"/>
      <c r="I1232" s="159"/>
      <c r="J1232" s="159"/>
      <c r="K1232" s="159"/>
      <c r="L1232" s="159"/>
      <c r="M1232" s="159"/>
      <c r="N1232" s="159"/>
      <c r="O1232" s="160"/>
    </row>
    <row r="1233" ht="1.5" customHeight="1">
      <c r="A1233" s="161"/>
      <c r="B1233" s="162"/>
      <c r="C1233" s="163"/>
      <c r="D1233" s="164"/>
      <c r="E1233" s="165"/>
      <c r="F1233" s="165"/>
      <c r="G1233" s="165"/>
      <c r="H1233" s="165"/>
      <c r="I1233" s="165"/>
      <c r="J1233" s="165"/>
      <c r="K1233" s="165"/>
      <c r="L1233" s="165"/>
      <c r="M1233" s="165"/>
      <c r="N1233" s="165"/>
      <c r="O1233" s="166"/>
    </row>
    <row r="1234" ht="1.5" customHeight="1">
      <c r="A1234" s="155"/>
      <c r="B1234" s="156"/>
      <c r="C1234" s="157"/>
      <c r="D1234" s="158"/>
      <c r="E1234" s="159"/>
      <c r="F1234" s="159"/>
      <c r="G1234" s="159"/>
      <c r="H1234" s="159"/>
      <c r="I1234" s="159"/>
      <c r="J1234" s="159"/>
      <c r="K1234" s="159"/>
      <c r="L1234" s="159"/>
      <c r="M1234" s="159"/>
      <c r="N1234" s="159"/>
      <c r="O1234" s="160"/>
    </row>
    <row r="1235" ht="1.5" customHeight="1">
      <c r="A1235" s="161"/>
      <c r="B1235" s="162"/>
      <c r="C1235" s="163"/>
      <c r="D1235" s="164"/>
      <c r="E1235" s="165"/>
      <c r="F1235" s="165"/>
      <c r="G1235" s="165"/>
      <c r="H1235" s="165"/>
      <c r="I1235" s="165"/>
      <c r="J1235" s="165"/>
      <c r="K1235" s="165"/>
      <c r="L1235" s="165"/>
      <c r="M1235" s="165"/>
      <c r="N1235" s="165"/>
      <c r="O1235" s="166"/>
    </row>
    <row r="1236" ht="1.5" customHeight="1">
      <c r="A1236" s="155"/>
      <c r="B1236" s="156"/>
      <c r="C1236" s="157"/>
      <c r="D1236" s="158"/>
      <c r="E1236" s="159"/>
      <c r="F1236" s="159"/>
      <c r="G1236" s="159"/>
      <c r="H1236" s="159"/>
      <c r="I1236" s="159"/>
      <c r="J1236" s="159"/>
      <c r="K1236" s="159"/>
      <c r="L1236" s="159"/>
      <c r="M1236" s="159"/>
      <c r="N1236" s="159"/>
      <c r="O1236" s="160"/>
    </row>
    <row r="1237" ht="1.5" customHeight="1">
      <c r="A1237" s="161"/>
      <c r="B1237" s="162"/>
      <c r="C1237" s="163"/>
      <c r="D1237" s="164"/>
      <c r="E1237" s="165"/>
      <c r="F1237" s="165"/>
      <c r="G1237" s="165"/>
      <c r="H1237" s="165"/>
      <c r="I1237" s="165"/>
      <c r="J1237" s="165"/>
      <c r="K1237" s="165"/>
      <c r="L1237" s="165"/>
      <c r="M1237" s="165"/>
      <c r="N1237" s="165"/>
      <c r="O1237" s="166"/>
    </row>
    <row r="1238" ht="1.5" customHeight="1">
      <c r="A1238" s="155"/>
      <c r="B1238" s="156"/>
      <c r="C1238" s="157"/>
      <c r="D1238" s="158"/>
      <c r="E1238" s="159"/>
      <c r="F1238" s="159"/>
      <c r="G1238" s="159"/>
      <c r="H1238" s="159"/>
      <c r="I1238" s="159"/>
      <c r="J1238" s="159"/>
      <c r="K1238" s="159"/>
      <c r="L1238" s="159"/>
      <c r="M1238" s="159"/>
      <c r="N1238" s="159"/>
      <c r="O1238" s="160"/>
    </row>
    <row r="1239" ht="1.5" customHeight="1">
      <c r="A1239" s="161"/>
      <c r="B1239" s="162"/>
      <c r="C1239" s="163"/>
      <c r="D1239" s="164"/>
      <c r="E1239" s="165"/>
      <c r="F1239" s="165"/>
      <c r="G1239" s="165"/>
      <c r="H1239" s="165"/>
      <c r="I1239" s="165"/>
      <c r="J1239" s="165"/>
      <c r="K1239" s="165"/>
      <c r="L1239" s="165"/>
      <c r="M1239" s="165"/>
      <c r="N1239" s="165"/>
      <c r="O1239" s="166"/>
    </row>
    <row r="1240" ht="1.5" customHeight="1">
      <c r="A1240" s="155"/>
      <c r="B1240" s="156"/>
      <c r="C1240" s="157"/>
      <c r="D1240" s="158"/>
      <c r="E1240" s="159"/>
      <c r="F1240" s="159"/>
      <c r="G1240" s="159"/>
      <c r="H1240" s="159"/>
      <c r="I1240" s="159"/>
      <c r="J1240" s="159"/>
      <c r="K1240" s="159"/>
      <c r="L1240" s="159"/>
      <c r="M1240" s="159"/>
      <c r="N1240" s="159"/>
      <c r="O1240" s="160"/>
    </row>
    <row r="1241" ht="1.5" customHeight="1">
      <c r="A1241" s="161"/>
      <c r="B1241" s="162"/>
      <c r="C1241" s="163"/>
      <c r="D1241" s="164"/>
      <c r="E1241" s="165"/>
      <c r="F1241" s="165"/>
      <c r="G1241" s="165"/>
      <c r="H1241" s="165"/>
      <c r="I1241" s="165"/>
      <c r="J1241" s="165"/>
      <c r="K1241" s="165"/>
      <c r="L1241" s="165"/>
      <c r="M1241" s="165"/>
      <c r="N1241" s="165"/>
      <c r="O1241" s="166"/>
    </row>
    <row r="1242" ht="1.5" customHeight="1">
      <c r="A1242" s="155"/>
      <c r="B1242" s="156"/>
      <c r="C1242" s="157"/>
      <c r="D1242" s="158"/>
      <c r="E1242" s="159"/>
      <c r="F1242" s="159"/>
      <c r="G1242" s="159"/>
      <c r="H1242" s="159"/>
      <c r="I1242" s="159"/>
      <c r="J1242" s="159"/>
      <c r="K1242" s="159"/>
      <c r="L1242" s="159"/>
      <c r="M1242" s="159"/>
      <c r="N1242" s="159"/>
      <c r="O1242" s="160"/>
    </row>
    <row r="1243" ht="1.5" customHeight="1">
      <c r="A1243" s="161"/>
      <c r="B1243" s="162"/>
      <c r="C1243" s="163"/>
      <c r="D1243" s="164"/>
      <c r="E1243" s="165"/>
      <c r="F1243" s="165"/>
      <c r="G1243" s="165"/>
      <c r="H1243" s="165"/>
      <c r="I1243" s="165"/>
      <c r="J1243" s="165"/>
      <c r="K1243" s="165"/>
      <c r="L1243" s="165"/>
      <c r="M1243" s="165"/>
      <c r="N1243" s="165"/>
      <c r="O1243" s="166"/>
    </row>
    <row r="1244" ht="1.5" customHeight="1">
      <c r="A1244" s="155"/>
      <c r="B1244" s="156"/>
      <c r="C1244" s="157"/>
      <c r="D1244" s="158"/>
      <c r="E1244" s="159"/>
      <c r="F1244" s="159"/>
      <c r="G1244" s="159"/>
      <c r="H1244" s="159"/>
      <c r="I1244" s="159"/>
      <c r="J1244" s="159"/>
      <c r="K1244" s="159"/>
      <c r="L1244" s="159"/>
      <c r="M1244" s="159"/>
      <c r="N1244" s="159"/>
      <c r="O1244" s="160"/>
    </row>
    <row r="1245" ht="1.5" customHeight="1">
      <c r="A1245" s="161"/>
      <c r="B1245" s="162"/>
      <c r="C1245" s="163"/>
      <c r="D1245" s="164"/>
      <c r="E1245" s="165"/>
      <c r="F1245" s="165"/>
      <c r="G1245" s="165"/>
      <c r="H1245" s="165"/>
      <c r="I1245" s="165"/>
      <c r="J1245" s="165"/>
      <c r="K1245" s="165"/>
      <c r="L1245" s="165"/>
      <c r="M1245" s="165"/>
      <c r="N1245" s="165"/>
      <c r="O1245" s="166"/>
    </row>
    <row r="1246" ht="1.5" customHeight="1">
      <c r="A1246" s="155"/>
      <c r="B1246" s="156"/>
      <c r="C1246" s="157"/>
      <c r="D1246" s="158"/>
      <c r="E1246" s="159"/>
      <c r="F1246" s="159"/>
      <c r="G1246" s="159"/>
      <c r="H1246" s="159"/>
      <c r="I1246" s="159"/>
      <c r="J1246" s="159"/>
      <c r="K1246" s="159"/>
      <c r="L1246" s="159"/>
      <c r="M1246" s="159"/>
      <c r="N1246" s="159"/>
      <c r="O1246" s="160"/>
    </row>
    <row r="1247" ht="1.5" customHeight="1">
      <c r="A1247" s="161"/>
      <c r="B1247" s="162"/>
      <c r="C1247" s="163"/>
      <c r="D1247" s="164"/>
      <c r="E1247" s="165"/>
      <c r="F1247" s="165"/>
      <c r="G1247" s="165"/>
      <c r="H1247" s="165"/>
      <c r="I1247" s="165"/>
      <c r="J1247" s="165"/>
      <c r="K1247" s="165"/>
      <c r="L1247" s="165"/>
      <c r="M1247" s="165"/>
      <c r="N1247" s="165"/>
      <c r="O1247" s="166"/>
    </row>
    <row r="1248" ht="1.5" customHeight="1">
      <c r="A1248" s="155"/>
      <c r="B1248" s="156"/>
      <c r="C1248" s="157"/>
      <c r="D1248" s="158"/>
      <c r="E1248" s="159"/>
      <c r="F1248" s="159"/>
      <c r="G1248" s="159"/>
      <c r="H1248" s="159"/>
      <c r="I1248" s="159"/>
      <c r="J1248" s="159"/>
      <c r="K1248" s="159"/>
      <c r="L1248" s="159"/>
      <c r="M1248" s="159"/>
      <c r="N1248" s="159"/>
      <c r="O1248" s="160"/>
    </row>
    <row r="1249" ht="1.5" customHeight="1">
      <c r="A1249" s="161"/>
      <c r="B1249" s="162"/>
      <c r="C1249" s="163"/>
      <c r="D1249" s="164"/>
      <c r="E1249" s="165"/>
      <c r="F1249" s="165"/>
      <c r="G1249" s="165"/>
      <c r="H1249" s="165"/>
      <c r="I1249" s="165"/>
      <c r="J1249" s="165"/>
      <c r="K1249" s="165"/>
      <c r="L1249" s="165"/>
      <c r="M1249" s="165"/>
      <c r="N1249" s="165"/>
      <c r="O1249" s="166"/>
    </row>
    <row r="1250" ht="1.5" customHeight="1">
      <c r="A1250" s="155"/>
      <c r="B1250" s="156"/>
      <c r="C1250" s="157"/>
      <c r="D1250" s="158"/>
      <c r="E1250" s="159"/>
      <c r="F1250" s="159"/>
      <c r="G1250" s="159"/>
      <c r="H1250" s="159"/>
      <c r="I1250" s="159"/>
      <c r="J1250" s="159"/>
      <c r="K1250" s="159"/>
      <c r="L1250" s="159"/>
      <c r="M1250" s="159"/>
      <c r="N1250" s="159"/>
      <c r="O1250" s="160"/>
    </row>
    <row r="1251" ht="1.5" customHeight="1">
      <c r="A1251" s="161"/>
      <c r="B1251" s="162"/>
      <c r="C1251" s="163"/>
      <c r="D1251" s="164"/>
      <c r="E1251" s="165"/>
      <c r="F1251" s="165"/>
      <c r="G1251" s="165"/>
      <c r="H1251" s="165"/>
      <c r="I1251" s="165"/>
      <c r="J1251" s="165"/>
      <c r="K1251" s="165"/>
      <c r="L1251" s="165"/>
      <c r="M1251" s="165"/>
      <c r="N1251" s="165"/>
      <c r="O1251" s="166"/>
    </row>
    <row r="1252" ht="1.5" customHeight="1">
      <c r="A1252" s="155"/>
      <c r="B1252" s="156"/>
      <c r="C1252" s="157"/>
      <c r="D1252" s="158"/>
      <c r="E1252" s="159"/>
      <c r="F1252" s="159"/>
      <c r="G1252" s="159"/>
      <c r="H1252" s="159"/>
      <c r="I1252" s="159"/>
      <c r="J1252" s="159"/>
      <c r="K1252" s="159"/>
      <c r="L1252" s="159"/>
      <c r="M1252" s="159"/>
      <c r="N1252" s="159"/>
      <c r="O1252" s="160"/>
    </row>
    <row r="1253" ht="1.5" customHeight="1">
      <c r="A1253" s="161"/>
      <c r="B1253" s="162"/>
      <c r="C1253" s="163"/>
      <c r="D1253" s="164"/>
      <c r="E1253" s="165"/>
      <c r="F1253" s="165"/>
      <c r="G1253" s="165"/>
      <c r="H1253" s="165"/>
      <c r="I1253" s="165"/>
      <c r="J1253" s="165"/>
      <c r="K1253" s="165"/>
      <c r="L1253" s="165"/>
      <c r="M1253" s="165"/>
      <c r="N1253" s="165"/>
      <c r="O1253" s="166"/>
    </row>
    <row r="1254" ht="1.5" customHeight="1">
      <c r="A1254" s="155"/>
      <c r="B1254" s="156"/>
      <c r="C1254" s="157"/>
      <c r="D1254" s="158"/>
      <c r="E1254" s="159"/>
      <c r="F1254" s="159"/>
      <c r="G1254" s="159"/>
      <c r="H1254" s="159"/>
      <c r="I1254" s="159"/>
      <c r="J1254" s="159"/>
      <c r="K1254" s="159"/>
      <c r="L1254" s="159"/>
      <c r="M1254" s="159"/>
      <c r="N1254" s="159"/>
      <c r="O1254" s="160"/>
    </row>
    <row r="1255" ht="1.5" customHeight="1">
      <c r="A1255" s="161"/>
      <c r="B1255" s="162"/>
      <c r="C1255" s="163"/>
      <c r="D1255" s="164"/>
      <c r="E1255" s="165"/>
      <c r="F1255" s="165"/>
      <c r="G1255" s="165"/>
      <c r="H1255" s="165"/>
      <c r="I1255" s="165"/>
      <c r="J1255" s="165"/>
      <c r="K1255" s="165"/>
      <c r="L1255" s="165"/>
      <c r="M1255" s="165"/>
      <c r="N1255" s="165"/>
      <c r="O1255" s="166"/>
    </row>
    <row r="1256" ht="1.5" customHeight="1">
      <c r="A1256" s="155"/>
      <c r="B1256" s="156"/>
      <c r="C1256" s="157"/>
      <c r="D1256" s="158"/>
      <c r="E1256" s="159"/>
      <c r="F1256" s="159"/>
      <c r="G1256" s="159"/>
      <c r="H1256" s="159"/>
      <c r="I1256" s="159"/>
      <c r="J1256" s="159"/>
      <c r="K1256" s="159"/>
      <c r="L1256" s="159"/>
      <c r="M1256" s="159"/>
      <c r="N1256" s="159"/>
      <c r="O1256" s="160"/>
    </row>
    <row r="1257" ht="1.5" customHeight="1">
      <c r="A1257" s="161"/>
      <c r="B1257" s="162"/>
      <c r="C1257" s="163"/>
      <c r="D1257" s="164"/>
      <c r="E1257" s="165"/>
      <c r="F1257" s="165"/>
      <c r="G1257" s="165"/>
      <c r="H1257" s="165"/>
      <c r="I1257" s="165"/>
      <c r="J1257" s="165"/>
      <c r="K1257" s="165"/>
      <c r="L1257" s="165"/>
      <c r="M1257" s="165"/>
      <c r="N1257" s="165"/>
      <c r="O1257" s="166"/>
    </row>
    <row r="1258" ht="1.5" customHeight="1">
      <c r="A1258" s="155"/>
      <c r="B1258" s="156"/>
      <c r="C1258" s="157"/>
      <c r="D1258" s="158"/>
      <c r="E1258" s="159"/>
      <c r="F1258" s="159"/>
      <c r="G1258" s="159"/>
      <c r="H1258" s="159"/>
      <c r="I1258" s="159"/>
      <c r="J1258" s="159"/>
      <c r="K1258" s="159"/>
      <c r="L1258" s="159"/>
      <c r="M1258" s="159"/>
      <c r="N1258" s="159"/>
      <c r="O1258" s="160"/>
    </row>
    <row r="1259" ht="1.5" customHeight="1">
      <c r="A1259" s="161"/>
      <c r="B1259" s="162"/>
      <c r="C1259" s="163"/>
      <c r="D1259" s="164"/>
      <c r="E1259" s="165"/>
      <c r="F1259" s="165"/>
      <c r="G1259" s="165"/>
      <c r="H1259" s="165"/>
      <c r="I1259" s="165"/>
      <c r="J1259" s="165"/>
      <c r="K1259" s="165"/>
      <c r="L1259" s="165"/>
      <c r="M1259" s="165"/>
      <c r="N1259" s="165"/>
      <c r="O1259" s="166"/>
    </row>
    <row r="1260" ht="1.5" customHeight="1">
      <c r="A1260" s="155"/>
      <c r="B1260" s="156"/>
      <c r="C1260" s="157"/>
      <c r="D1260" s="158"/>
      <c r="E1260" s="159"/>
      <c r="F1260" s="159"/>
      <c r="G1260" s="159"/>
      <c r="H1260" s="159"/>
      <c r="I1260" s="159"/>
      <c r="J1260" s="159"/>
      <c r="K1260" s="159"/>
      <c r="L1260" s="159"/>
      <c r="M1260" s="159"/>
      <c r="N1260" s="159"/>
      <c r="O1260" s="160"/>
    </row>
    <row r="1261" ht="1.5" customHeight="1">
      <c r="A1261" s="161"/>
      <c r="B1261" s="162"/>
      <c r="C1261" s="163"/>
      <c r="D1261" s="164"/>
      <c r="E1261" s="165"/>
      <c r="F1261" s="165"/>
      <c r="G1261" s="165"/>
      <c r="H1261" s="165"/>
      <c r="I1261" s="165"/>
      <c r="J1261" s="165"/>
      <c r="K1261" s="165"/>
      <c r="L1261" s="165"/>
      <c r="M1261" s="165"/>
      <c r="N1261" s="165"/>
      <c r="O1261" s="166"/>
    </row>
    <row r="1262" ht="1.5" customHeight="1">
      <c r="A1262" s="155"/>
      <c r="B1262" s="156"/>
      <c r="C1262" s="157"/>
      <c r="D1262" s="158"/>
      <c r="E1262" s="159"/>
      <c r="F1262" s="159"/>
      <c r="G1262" s="159"/>
      <c r="H1262" s="159"/>
      <c r="I1262" s="159"/>
      <c r="J1262" s="159"/>
      <c r="K1262" s="159"/>
      <c r="L1262" s="159"/>
      <c r="M1262" s="159"/>
      <c r="N1262" s="159"/>
      <c r="O1262" s="160"/>
    </row>
    <row r="1263" ht="1.5" customHeight="1">
      <c r="A1263" s="161"/>
      <c r="B1263" s="162"/>
      <c r="C1263" s="163"/>
      <c r="D1263" s="164"/>
      <c r="E1263" s="165"/>
      <c r="F1263" s="165"/>
      <c r="G1263" s="165"/>
      <c r="H1263" s="165"/>
      <c r="I1263" s="165"/>
      <c r="J1263" s="165"/>
      <c r="K1263" s="165"/>
      <c r="L1263" s="165"/>
      <c r="M1263" s="165"/>
      <c r="N1263" s="165"/>
      <c r="O1263" s="166"/>
    </row>
    <row r="1264" ht="1.5" customHeight="1">
      <c r="A1264" s="155"/>
      <c r="B1264" s="156"/>
      <c r="C1264" s="157"/>
      <c r="D1264" s="158"/>
      <c r="E1264" s="159"/>
      <c r="F1264" s="159"/>
      <c r="G1264" s="159"/>
      <c r="H1264" s="159"/>
      <c r="I1264" s="159"/>
      <c r="J1264" s="159"/>
      <c r="K1264" s="159"/>
      <c r="L1264" s="159"/>
      <c r="M1264" s="159"/>
      <c r="N1264" s="159"/>
      <c r="O1264" s="160"/>
    </row>
    <row r="1265" ht="1.5" customHeight="1">
      <c r="A1265" s="161"/>
      <c r="B1265" s="162"/>
      <c r="C1265" s="163"/>
      <c r="D1265" s="164"/>
      <c r="E1265" s="165"/>
      <c r="F1265" s="165"/>
      <c r="G1265" s="165"/>
      <c r="H1265" s="165"/>
      <c r="I1265" s="165"/>
      <c r="J1265" s="165"/>
      <c r="K1265" s="165"/>
      <c r="L1265" s="165"/>
      <c r="M1265" s="165"/>
      <c r="N1265" s="165"/>
      <c r="O1265" s="166"/>
    </row>
    <row r="1266" ht="1.5" customHeight="1">
      <c r="A1266" s="155"/>
      <c r="B1266" s="156"/>
      <c r="C1266" s="157"/>
      <c r="D1266" s="158"/>
      <c r="E1266" s="159"/>
      <c r="F1266" s="159"/>
      <c r="G1266" s="159"/>
      <c r="H1266" s="159"/>
      <c r="I1266" s="159"/>
      <c r="J1266" s="159"/>
      <c r="K1266" s="159"/>
      <c r="L1266" s="159"/>
      <c r="M1266" s="159"/>
      <c r="N1266" s="159"/>
      <c r="O1266" s="160"/>
    </row>
    <row r="1267" ht="1.5" customHeight="1">
      <c r="A1267" s="161"/>
      <c r="B1267" s="162"/>
      <c r="C1267" s="163"/>
      <c r="D1267" s="164"/>
      <c r="E1267" s="165"/>
      <c r="F1267" s="165"/>
      <c r="G1267" s="165"/>
      <c r="H1267" s="165"/>
      <c r="I1267" s="165"/>
      <c r="J1267" s="165"/>
      <c r="K1267" s="165"/>
      <c r="L1267" s="165"/>
      <c r="M1267" s="165"/>
      <c r="N1267" s="165"/>
      <c r="O1267" s="166"/>
    </row>
    <row r="1268" ht="1.5" customHeight="1">
      <c r="A1268" s="155"/>
      <c r="B1268" s="156"/>
      <c r="C1268" s="157"/>
      <c r="D1268" s="158"/>
      <c r="E1268" s="159"/>
      <c r="F1268" s="159"/>
      <c r="G1268" s="159"/>
      <c r="H1268" s="159"/>
      <c r="I1268" s="159"/>
      <c r="J1268" s="159"/>
      <c r="K1268" s="159"/>
      <c r="L1268" s="159"/>
      <c r="M1268" s="159"/>
      <c r="N1268" s="159"/>
      <c r="O1268" s="160"/>
    </row>
    <row r="1269" ht="1.5" customHeight="1">
      <c r="A1269" s="161"/>
      <c r="B1269" s="162"/>
      <c r="C1269" s="163"/>
      <c r="D1269" s="164"/>
      <c r="E1269" s="165"/>
      <c r="F1269" s="165"/>
      <c r="G1269" s="165"/>
      <c r="H1269" s="165"/>
      <c r="I1269" s="165"/>
      <c r="J1269" s="165"/>
      <c r="K1269" s="165"/>
      <c r="L1269" s="165"/>
      <c r="M1269" s="165"/>
      <c r="N1269" s="165"/>
      <c r="O1269" s="166"/>
    </row>
    <row r="1270" ht="1.5" customHeight="1">
      <c r="A1270" s="155"/>
      <c r="B1270" s="156"/>
      <c r="C1270" s="157"/>
      <c r="D1270" s="158"/>
      <c r="E1270" s="159"/>
      <c r="F1270" s="159"/>
      <c r="G1270" s="159"/>
      <c r="H1270" s="159"/>
      <c r="I1270" s="159"/>
      <c r="J1270" s="159"/>
      <c r="K1270" s="159"/>
      <c r="L1270" s="159"/>
      <c r="M1270" s="159"/>
      <c r="N1270" s="159"/>
      <c r="O1270" s="160"/>
    </row>
    <row r="1271" ht="1.5" customHeight="1">
      <c r="A1271" s="161"/>
      <c r="B1271" s="162"/>
      <c r="C1271" s="163"/>
      <c r="D1271" s="164"/>
      <c r="E1271" s="165"/>
      <c r="F1271" s="165"/>
      <c r="G1271" s="165"/>
      <c r="H1271" s="165"/>
      <c r="I1271" s="165"/>
      <c r="J1271" s="165"/>
      <c r="K1271" s="165"/>
      <c r="L1271" s="165"/>
      <c r="M1271" s="165"/>
      <c r="N1271" s="165"/>
      <c r="O1271" s="166"/>
    </row>
    <row r="1272" ht="1.5" customHeight="1">
      <c r="A1272" s="155"/>
      <c r="B1272" s="156"/>
      <c r="C1272" s="157"/>
      <c r="D1272" s="158"/>
      <c r="E1272" s="159"/>
      <c r="F1272" s="159"/>
      <c r="G1272" s="159"/>
      <c r="H1272" s="159"/>
      <c r="I1272" s="159"/>
      <c r="J1272" s="159"/>
      <c r="K1272" s="159"/>
      <c r="L1272" s="159"/>
      <c r="M1272" s="159"/>
      <c r="N1272" s="159"/>
      <c r="O1272" s="160"/>
    </row>
    <row r="1273" ht="1.5" customHeight="1">
      <c r="A1273" s="161"/>
      <c r="B1273" s="162"/>
      <c r="C1273" s="163"/>
      <c r="D1273" s="164"/>
      <c r="E1273" s="165"/>
      <c r="F1273" s="165"/>
      <c r="G1273" s="165"/>
      <c r="H1273" s="165"/>
      <c r="I1273" s="165"/>
      <c r="J1273" s="165"/>
      <c r="K1273" s="165"/>
      <c r="L1273" s="165"/>
      <c r="M1273" s="165"/>
      <c r="N1273" s="165"/>
      <c r="O1273" s="166"/>
    </row>
    <row r="1274" ht="1.5" customHeight="1">
      <c r="A1274" s="155"/>
      <c r="B1274" s="156"/>
      <c r="C1274" s="157"/>
      <c r="D1274" s="158"/>
      <c r="E1274" s="159"/>
      <c r="F1274" s="159"/>
      <c r="G1274" s="159"/>
      <c r="H1274" s="159"/>
      <c r="I1274" s="159"/>
      <c r="J1274" s="159"/>
      <c r="K1274" s="159"/>
      <c r="L1274" s="159"/>
      <c r="M1274" s="159"/>
      <c r="N1274" s="159"/>
      <c r="O1274" s="160"/>
    </row>
    <row r="1275" ht="1.5" customHeight="1">
      <c r="A1275" s="161"/>
      <c r="B1275" s="162"/>
      <c r="C1275" s="163"/>
      <c r="D1275" s="164"/>
      <c r="E1275" s="165"/>
      <c r="F1275" s="165"/>
      <c r="G1275" s="165"/>
      <c r="H1275" s="165"/>
      <c r="I1275" s="165"/>
      <c r="J1275" s="165"/>
      <c r="K1275" s="165"/>
      <c r="L1275" s="165"/>
      <c r="M1275" s="165"/>
      <c r="N1275" s="165"/>
      <c r="O1275" s="166"/>
    </row>
    <row r="1276" ht="1.5" customHeight="1">
      <c r="A1276" s="155"/>
      <c r="B1276" s="156"/>
      <c r="C1276" s="157"/>
      <c r="D1276" s="158"/>
      <c r="E1276" s="159"/>
      <c r="F1276" s="159"/>
      <c r="G1276" s="159"/>
      <c r="H1276" s="159"/>
      <c r="I1276" s="159"/>
      <c r="J1276" s="159"/>
      <c r="K1276" s="159"/>
      <c r="L1276" s="159"/>
      <c r="M1276" s="159"/>
      <c r="N1276" s="159"/>
      <c r="O1276" s="160"/>
    </row>
    <row r="1277" ht="1.5" customHeight="1">
      <c r="A1277" s="161"/>
      <c r="B1277" s="162"/>
      <c r="C1277" s="163"/>
      <c r="D1277" s="164"/>
      <c r="E1277" s="165"/>
      <c r="F1277" s="165"/>
      <c r="G1277" s="165"/>
      <c r="H1277" s="165"/>
      <c r="I1277" s="165"/>
      <c r="J1277" s="165"/>
      <c r="K1277" s="165"/>
      <c r="L1277" s="165"/>
      <c r="M1277" s="165"/>
      <c r="N1277" s="165"/>
      <c r="O1277" s="166"/>
    </row>
    <row r="1278" ht="1.5" customHeight="1">
      <c r="A1278" s="155"/>
      <c r="B1278" s="156"/>
      <c r="C1278" s="157"/>
      <c r="D1278" s="158"/>
      <c r="E1278" s="159"/>
      <c r="F1278" s="159"/>
      <c r="G1278" s="159"/>
      <c r="H1278" s="159"/>
      <c r="I1278" s="159"/>
      <c r="J1278" s="159"/>
      <c r="K1278" s="159"/>
      <c r="L1278" s="159"/>
      <c r="M1278" s="159"/>
      <c r="N1278" s="159"/>
      <c r="O1278" s="160"/>
    </row>
    <row r="1279" ht="1.5" customHeight="1">
      <c r="A1279" s="161"/>
      <c r="B1279" s="162"/>
      <c r="C1279" s="163"/>
      <c r="D1279" s="164"/>
      <c r="E1279" s="165"/>
      <c r="F1279" s="165"/>
      <c r="G1279" s="165"/>
      <c r="H1279" s="165"/>
      <c r="I1279" s="165"/>
      <c r="J1279" s="165"/>
      <c r="K1279" s="165"/>
      <c r="L1279" s="165"/>
      <c r="M1279" s="165"/>
      <c r="N1279" s="165"/>
      <c r="O1279" s="166"/>
    </row>
    <row r="1280" ht="1.5" customHeight="1">
      <c r="A1280" s="155"/>
      <c r="B1280" s="156"/>
      <c r="C1280" s="157"/>
      <c r="D1280" s="158"/>
      <c r="E1280" s="159"/>
      <c r="F1280" s="159"/>
      <c r="G1280" s="159"/>
      <c r="H1280" s="159"/>
      <c r="I1280" s="159"/>
      <c r="J1280" s="159"/>
      <c r="K1280" s="159"/>
      <c r="L1280" s="159"/>
      <c r="M1280" s="159"/>
      <c r="N1280" s="159"/>
      <c r="O1280" s="160"/>
    </row>
    <row r="1281" ht="1.5" customHeight="1">
      <c r="A1281" s="161"/>
      <c r="B1281" s="162"/>
      <c r="C1281" s="163"/>
      <c r="D1281" s="164"/>
      <c r="E1281" s="165"/>
      <c r="F1281" s="165"/>
      <c r="G1281" s="165"/>
      <c r="H1281" s="165"/>
      <c r="I1281" s="165"/>
      <c r="J1281" s="165"/>
      <c r="K1281" s="165"/>
      <c r="L1281" s="165"/>
      <c r="M1281" s="165"/>
      <c r="N1281" s="165"/>
      <c r="O1281" s="166"/>
    </row>
    <row r="1282" ht="1.5" customHeight="1">
      <c r="A1282" s="155"/>
      <c r="B1282" s="156"/>
      <c r="C1282" s="157"/>
      <c r="D1282" s="158"/>
      <c r="E1282" s="159"/>
      <c r="F1282" s="159"/>
      <c r="G1282" s="159"/>
      <c r="H1282" s="159"/>
      <c r="I1282" s="159"/>
      <c r="J1282" s="159"/>
      <c r="K1282" s="159"/>
      <c r="L1282" s="159"/>
      <c r="M1282" s="159"/>
      <c r="N1282" s="159"/>
      <c r="O1282" s="160"/>
    </row>
    <row r="1283" ht="1.5" customHeight="1">
      <c r="A1283" s="161"/>
      <c r="B1283" s="162"/>
      <c r="C1283" s="163"/>
      <c r="D1283" s="164"/>
      <c r="E1283" s="165"/>
      <c r="F1283" s="165"/>
      <c r="G1283" s="165"/>
      <c r="H1283" s="165"/>
      <c r="I1283" s="165"/>
      <c r="J1283" s="165"/>
      <c r="K1283" s="165"/>
      <c r="L1283" s="165"/>
      <c r="M1283" s="165"/>
      <c r="N1283" s="165"/>
      <c r="O1283" s="166"/>
    </row>
    <row r="1284" ht="1.5" customHeight="1">
      <c r="A1284" s="155"/>
      <c r="B1284" s="156"/>
      <c r="C1284" s="157"/>
      <c r="D1284" s="158"/>
      <c r="E1284" s="159"/>
      <c r="F1284" s="159"/>
      <c r="G1284" s="159"/>
      <c r="H1284" s="159"/>
      <c r="I1284" s="159"/>
      <c r="J1284" s="159"/>
      <c r="K1284" s="159"/>
      <c r="L1284" s="159"/>
      <c r="M1284" s="159"/>
      <c r="N1284" s="159"/>
      <c r="O1284" s="160"/>
    </row>
    <row r="1285" ht="1.5" customHeight="1">
      <c r="A1285" s="161"/>
      <c r="B1285" s="162"/>
      <c r="C1285" s="163"/>
      <c r="D1285" s="164"/>
      <c r="E1285" s="165"/>
      <c r="F1285" s="165"/>
      <c r="G1285" s="165"/>
      <c r="H1285" s="165"/>
      <c r="I1285" s="165"/>
      <c r="J1285" s="165"/>
      <c r="K1285" s="165"/>
      <c r="L1285" s="165"/>
      <c r="M1285" s="165"/>
      <c r="N1285" s="165"/>
      <c r="O1285" s="166"/>
    </row>
    <row r="1286" ht="1.5" customHeight="1">
      <c r="A1286" s="155"/>
      <c r="B1286" s="156"/>
      <c r="C1286" s="157"/>
      <c r="D1286" s="158"/>
      <c r="E1286" s="159"/>
      <c r="F1286" s="159"/>
      <c r="G1286" s="159"/>
      <c r="H1286" s="159"/>
      <c r="I1286" s="159"/>
      <c r="J1286" s="159"/>
      <c r="K1286" s="159"/>
      <c r="L1286" s="159"/>
      <c r="M1286" s="159"/>
      <c r="N1286" s="159"/>
      <c r="O1286" s="160"/>
    </row>
    <row r="1287" ht="1.5" customHeight="1">
      <c r="A1287" s="161"/>
      <c r="B1287" s="162"/>
      <c r="C1287" s="163"/>
      <c r="D1287" s="164"/>
      <c r="E1287" s="165"/>
      <c r="F1287" s="165"/>
      <c r="G1287" s="165"/>
      <c r="H1287" s="165"/>
      <c r="I1287" s="165"/>
      <c r="J1287" s="165"/>
      <c r="K1287" s="165"/>
      <c r="L1287" s="165"/>
      <c r="M1287" s="165"/>
      <c r="N1287" s="165"/>
      <c r="O1287" s="166"/>
    </row>
    <row r="1288" ht="1.5" customHeight="1">
      <c r="A1288" s="155"/>
      <c r="B1288" s="156"/>
      <c r="C1288" s="157"/>
      <c r="D1288" s="158"/>
      <c r="E1288" s="159"/>
      <c r="F1288" s="159"/>
      <c r="G1288" s="159"/>
      <c r="H1288" s="159"/>
      <c r="I1288" s="159"/>
      <c r="J1288" s="159"/>
      <c r="K1288" s="159"/>
      <c r="L1288" s="159"/>
      <c r="M1288" s="159"/>
      <c r="N1288" s="159"/>
      <c r="O1288" s="160"/>
    </row>
    <row r="1289" ht="1.5" customHeight="1">
      <c r="A1289" s="161"/>
      <c r="B1289" s="162"/>
      <c r="C1289" s="163"/>
      <c r="D1289" s="164"/>
      <c r="E1289" s="165"/>
      <c r="F1289" s="165"/>
      <c r="G1289" s="165"/>
      <c r="H1289" s="165"/>
      <c r="I1289" s="165"/>
      <c r="J1289" s="165"/>
      <c r="K1289" s="165"/>
      <c r="L1289" s="165"/>
      <c r="M1289" s="165"/>
      <c r="N1289" s="165"/>
      <c r="O1289" s="166"/>
    </row>
    <row r="1290" ht="1.5" customHeight="1">
      <c r="A1290" s="155"/>
      <c r="B1290" s="156"/>
      <c r="C1290" s="157"/>
      <c r="D1290" s="158"/>
      <c r="E1290" s="159"/>
      <c r="F1290" s="159"/>
      <c r="G1290" s="159"/>
      <c r="H1290" s="159"/>
      <c r="I1290" s="159"/>
      <c r="J1290" s="159"/>
      <c r="K1290" s="159"/>
      <c r="L1290" s="159"/>
      <c r="M1290" s="159"/>
      <c r="N1290" s="159"/>
      <c r="O1290" s="160"/>
    </row>
    <row r="1291" ht="1.5" customHeight="1">
      <c r="A1291" s="161"/>
      <c r="B1291" s="162"/>
      <c r="C1291" s="163"/>
      <c r="D1291" s="164"/>
      <c r="E1291" s="165"/>
      <c r="F1291" s="165"/>
      <c r="G1291" s="165"/>
      <c r="H1291" s="165"/>
      <c r="I1291" s="165"/>
      <c r="J1291" s="165"/>
      <c r="K1291" s="165"/>
      <c r="L1291" s="165"/>
      <c r="M1291" s="165"/>
      <c r="N1291" s="165"/>
      <c r="O1291" s="166"/>
    </row>
    <row r="1292" ht="1.5" customHeight="1">
      <c r="A1292" s="155"/>
      <c r="B1292" s="156"/>
      <c r="C1292" s="157"/>
      <c r="D1292" s="158"/>
      <c r="E1292" s="159"/>
      <c r="F1292" s="159"/>
      <c r="G1292" s="159"/>
      <c r="H1292" s="159"/>
      <c r="I1292" s="159"/>
      <c r="J1292" s="159"/>
      <c r="K1292" s="159"/>
      <c r="L1292" s="159"/>
      <c r="M1292" s="159"/>
      <c r="N1292" s="159"/>
      <c r="O1292" s="160"/>
    </row>
    <row r="1293" ht="1.5" customHeight="1">
      <c r="A1293" s="161"/>
      <c r="B1293" s="162"/>
      <c r="C1293" s="163"/>
      <c r="D1293" s="164"/>
      <c r="E1293" s="165"/>
      <c r="F1293" s="165"/>
      <c r="G1293" s="165"/>
      <c r="H1293" s="165"/>
      <c r="I1293" s="165"/>
      <c r="J1293" s="165"/>
      <c r="K1293" s="165"/>
      <c r="L1293" s="165"/>
      <c r="M1293" s="165"/>
      <c r="N1293" s="165"/>
      <c r="O1293" s="166"/>
    </row>
    <row r="1294" ht="1.5" customHeight="1">
      <c r="A1294" s="155"/>
      <c r="B1294" s="156"/>
      <c r="C1294" s="157"/>
      <c r="D1294" s="158"/>
      <c r="E1294" s="159"/>
      <c r="F1294" s="159"/>
      <c r="G1294" s="159"/>
      <c r="H1294" s="159"/>
      <c r="I1294" s="159"/>
      <c r="J1294" s="159"/>
      <c r="K1294" s="159"/>
      <c r="L1294" s="159"/>
      <c r="M1294" s="159"/>
      <c r="N1294" s="159"/>
      <c r="O1294" s="160"/>
    </row>
    <row r="1295" ht="1.5" customHeight="1">
      <c r="A1295" s="161"/>
      <c r="B1295" s="162"/>
      <c r="C1295" s="163"/>
      <c r="D1295" s="164"/>
      <c r="E1295" s="165"/>
      <c r="F1295" s="165"/>
      <c r="G1295" s="165"/>
      <c r="H1295" s="165"/>
      <c r="I1295" s="165"/>
      <c r="J1295" s="165"/>
      <c r="K1295" s="165"/>
      <c r="L1295" s="165"/>
      <c r="M1295" s="165"/>
      <c r="N1295" s="165"/>
      <c r="O1295" s="166"/>
    </row>
    <row r="1296" ht="1.5" customHeight="1">
      <c r="A1296" s="155"/>
      <c r="B1296" s="156"/>
      <c r="C1296" s="157"/>
      <c r="D1296" s="158"/>
      <c r="E1296" s="159"/>
      <c r="F1296" s="159"/>
      <c r="G1296" s="159"/>
      <c r="H1296" s="159"/>
      <c r="I1296" s="159"/>
      <c r="J1296" s="159"/>
      <c r="K1296" s="159"/>
      <c r="L1296" s="159"/>
      <c r="M1296" s="159"/>
      <c r="N1296" s="159"/>
      <c r="O1296" s="160"/>
    </row>
    <row r="1297" ht="1.5" customHeight="1">
      <c r="A1297" s="161"/>
      <c r="B1297" s="162"/>
      <c r="C1297" s="163"/>
      <c r="D1297" s="164"/>
      <c r="E1297" s="165"/>
      <c r="F1297" s="165"/>
      <c r="G1297" s="165"/>
      <c r="H1297" s="165"/>
      <c r="I1297" s="165"/>
      <c r="J1297" s="165"/>
      <c r="K1297" s="165"/>
      <c r="L1297" s="165"/>
      <c r="M1297" s="165"/>
      <c r="N1297" s="165"/>
      <c r="O1297" s="166"/>
    </row>
    <row r="1298" ht="1.5" customHeight="1">
      <c r="A1298" s="155"/>
      <c r="B1298" s="156"/>
      <c r="C1298" s="157"/>
      <c r="D1298" s="158"/>
      <c r="E1298" s="159"/>
      <c r="F1298" s="159"/>
      <c r="G1298" s="159"/>
      <c r="H1298" s="159"/>
      <c r="I1298" s="159"/>
      <c r="J1298" s="159"/>
      <c r="K1298" s="159"/>
      <c r="L1298" s="159"/>
      <c r="M1298" s="159"/>
      <c r="N1298" s="159"/>
      <c r="O1298" s="160"/>
    </row>
    <row r="1299" ht="1.5" customHeight="1">
      <c r="A1299" s="161"/>
      <c r="B1299" s="162"/>
      <c r="C1299" s="163"/>
      <c r="D1299" s="164"/>
      <c r="E1299" s="165"/>
      <c r="F1299" s="165"/>
      <c r="G1299" s="165"/>
      <c r="H1299" s="165"/>
      <c r="I1299" s="165"/>
      <c r="J1299" s="165"/>
      <c r="K1299" s="165"/>
      <c r="L1299" s="165"/>
      <c r="M1299" s="165"/>
      <c r="N1299" s="165"/>
      <c r="O1299" s="166"/>
    </row>
    <row r="1300" ht="1.5" customHeight="1">
      <c r="A1300" s="155"/>
      <c r="B1300" s="156"/>
      <c r="C1300" s="157"/>
      <c r="D1300" s="158"/>
      <c r="E1300" s="159"/>
      <c r="F1300" s="159"/>
      <c r="G1300" s="159"/>
      <c r="H1300" s="159"/>
      <c r="I1300" s="159"/>
      <c r="J1300" s="159"/>
      <c r="K1300" s="159"/>
      <c r="L1300" s="159"/>
      <c r="M1300" s="159"/>
      <c r="N1300" s="159"/>
      <c r="O1300" s="160"/>
    </row>
    <row r="1301" ht="1.5" customHeight="1">
      <c r="A1301" s="161"/>
      <c r="B1301" s="162"/>
      <c r="C1301" s="163"/>
      <c r="D1301" s="164"/>
      <c r="E1301" s="165"/>
      <c r="F1301" s="165"/>
      <c r="G1301" s="165"/>
      <c r="H1301" s="165"/>
      <c r="I1301" s="165"/>
      <c r="J1301" s="165"/>
      <c r="K1301" s="165"/>
      <c r="L1301" s="165"/>
      <c r="M1301" s="165"/>
      <c r="N1301" s="165"/>
      <c r="O1301" s="166"/>
    </row>
    <row r="1302" ht="1.5" customHeight="1">
      <c r="A1302" s="155"/>
      <c r="B1302" s="156"/>
      <c r="C1302" s="157"/>
      <c r="D1302" s="158"/>
      <c r="E1302" s="159"/>
      <c r="F1302" s="159"/>
      <c r="G1302" s="159"/>
      <c r="H1302" s="159"/>
      <c r="I1302" s="159"/>
      <c r="J1302" s="159"/>
      <c r="K1302" s="159"/>
      <c r="L1302" s="159"/>
      <c r="M1302" s="159"/>
      <c r="N1302" s="159"/>
      <c r="O1302" s="160"/>
    </row>
    <row r="1303" ht="1.5" customHeight="1">
      <c r="A1303" s="161"/>
      <c r="B1303" s="162"/>
      <c r="C1303" s="163"/>
      <c r="D1303" s="164"/>
      <c r="E1303" s="165"/>
      <c r="F1303" s="165"/>
      <c r="G1303" s="165"/>
      <c r="H1303" s="165"/>
      <c r="I1303" s="165"/>
      <c r="J1303" s="165"/>
      <c r="K1303" s="165"/>
      <c r="L1303" s="165"/>
      <c r="M1303" s="165"/>
      <c r="N1303" s="165"/>
      <c r="O1303" s="166"/>
    </row>
    <row r="1304" ht="1.5" customHeight="1">
      <c r="A1304" s="155"/>
      <c r="B1304" s="156"/>
      <c r="C1304" s="157"/>
      <c r="D1304" s="158"/>
      <c r="E1304" s="159"/>
      <c r="F1304" s="159"/>
      <c r="G1304" s="159"/>
      <c r="H1304" s="159"/>
      <c r="I1304" s="159"/>
      <c r="J1304" s="159"/>
      <c r="K1304" s="159"/>
      <c r="L1304" s="159"/>
      <c r="M1304" s="159"/>
      <c r="N1304" s="159"/>
      <c r="O1304" s="160"/>
    </row>
    <row r="1305" ht="1.5" customHeight="1">
      <c r="A1305" s="161"/>
      <c r="B1305" s="162"/>
      <c r="C1305" s="163"/>
      <c r="D1305" s="164"/>
      <c r="E1305" s="165"/>
      <c r="F1305" s="165"/>
      <c r="G1305" s="165"/>
      <c r="H1305" s="165"/>
      <c r="I1305" s="165"/>
      <c r="J1305" s="165"/>
      <c r="K1305" s="165"/>
      <c r="L1305" s="165"/>
      <c r="M1305" s="165"/>
      <c r="N1305" s="165"/>
      <c r="O1305" s="166"/>
    </row>
    <row r="1306" ht="1.5" customHeight="1">
      <c r="A1306" s="155"/>
      <c r="B1306" s="156"/>
      <c r="C1306" s="157"/>
      <c r="D1306" s="158"/>
      <c r="E1306" s="159"/>
      <c r="F1306" s="159"/>
      <c r="G1306" s="159"/>
      <c r="H1306" s="159"/>
      <c r="I1306" s="159"/>
      <c r="J1306" s="159"/>
      <c r="K1306" s="159"/>
      <c r="L1306" s="159"/>
      <c r="M1306" s="159"/>
      <c r="N1306" s="159"/>
      <c r="O1306" s="160"/>
    </row>
    <row r="1307" ht="1.5" customHeight="1">
      <c r="A1307" s="161"/>
      <c r="B1307" s="162"/>
      <c r="C1307" s="163"/>
      <c r="D1307" s="164"/>
      <c r="E1307" s="165"/>
      <c r="F1307" s="165"/>
      <c r="G1307" s="165"/>
      <c r="H1307" s="165"/>
      <c r="I1307" s="165"/>
      <c r="J1307" s="165"/>
      <c r="K1307" s="165"/>
      <c r="L1307" s="165"/>
      <c r="M1307" s="165"/>
      <c r="N1307" s="165"/>
      <c r="O1307" s="166"/>
    </row>
    <row r="1308" ht="1.5" customHeight="1">
      <c r="A1308" s="155"/>
      <c r="B1308" s="156"/>
      <c r="C1308" s="157"/>
      <c r="D1308" s="158"/>
      <c r="E1308" s="159"/>
      <c r="F1308" s="159"/>
      <c r="G1308" s="159"/>
      <c r="H1308" s="159"/>
      <c r="I1308" s="159"/>
      <c r="J1308" s="159"/>
      <c r="K1308" s="159"/>
      <c r="L1308" s="159"/>
      <c r="M1308" s="159"/>
      <c r="N1308" s="159"/>
      <c r="O1308" s="160"/>
    </row>
    <row r="1309" ht="1.5" customHeight="1">
      <c r="A1309" s="161"/>
      <c r="B1309" s="162"/>
      <c r="C1309" s="163"/>
      <c r="D1309" s="164"/>
      <c r="E1309" s="165"/>
      <c r="F1309" s="165"/>
      <c r="G1309" s="165"/>
      <c r="H1309" s="165"/>
      <c r="I1309" s="165"/>
      <c r="J1309" s="165"/>
      <c r="K1309" s="165"/>
      <c r="L1309" s="165"/>
      <c r="M1309" s="165"/>
      <c r="N1309" s="165"/>
      <c r="O1309" s="166"/>
    </row>
    <row r="1310" ht="1.5" customHeight="1">
      <c r="A1310" s="155"/>
      <c r="B1310" s="156"/>
      <c r="C1310" s="157"/>
      <c r="D1310" s="158"/>
      <c r="E1310" s="159"/>
      <c r="F1310" s="159"/>
      <c r="G1310" s="159"/>
      <c r="H1310" s="159"/>
      <c r="I1310" s="159"/>
      <c r="J1310" s="159"/>
      <c r="K1310" s="159"/>
      <c r="L1310" s="159"/>
      <c r="M1310" s="159"/>
      <c r="N1310" s="159"/>
      <c r="O1310" s="160"/>
    </row>
    <row r="1311" ht="1.5" customHeight="1">
      <c r="A1311" s="161"/>
      <c r="B1311" s="162"/>
      <c r="C1311" s="163"/>
      <c r="D1311" s="164"/>
      <c r="E1311" s="165"/>
      <c r="F1311" s="165"/>
      <c r="G1311" s="165"/>
      <c r="H1311" s="165"/>
      <c r="I1311" s="165"/>
      <c r="J1311" s="165"/>
      <c r="K1311" s="165"/>
      <c r="L1311" s="165"/>
      <c r="M1311" s="165"/>
      <c r="N1311" s="165"/>
      <c r="O1311" s="166"/>
    </row>
    <row r="1312" ht="1.5" customHeight="1">
      <c r="A1312" s="155"/>
      <c r="B1312" s="156"/>
      <c r="C1312" s="157"/>
      <c r="D1312" s="158"/>
      <c r="E1312" s="159"/>
      <c r="F1312" s="159"/>
      <c r="G1312" s="159"/>
      <c r="H1312" s="159"/>
      <c r="I1312" s="159"/>
      <c r="J1312" s="159"/>
      <c r="K1312" s="159"/>
      <c r="L1312" s="159"/>
      <c r="M1312" s="159"/>
      <c r="N1312" s="159"/>
      <c r="O1312" s="160"/>
    </row>
    <row r="1313" ht="1.5" customHeight="1">
      <c r="A1313" s="161"/>
      <c r="B1313" s="162"/>
      <c r="C1313" s="163"/>
      <c r="D1313" s="164"/>
      <c r="E1313" s="165"/>
      <c r="F1313" s="165"/>
      <c r="G1313" s="165"/>
      <c r="H1313" s="165"/>
      <c r="I1313" s="165"/>
      <c r="J1313" s="165"/>
      <c r="K1313" s="165"/>
      <c r="L1313" s="165"/>
      <c r="M1313" s="165"/>
      <c r="N1313" s="165"/>
      <c r="O1313" s="166"/>
    </row>
    <row r="1314" ht="1.5" customHeight="1">
      <c r="A1314" s="155"/>
      <c r="B1314" s="156"/>
      <c r="C1314" s="157"/>
      <c r="D1314" s="158"/>
      <c r="E1314" s="159"/>
      <c r="F1314" s="159"/>
      <c r="G1314" s="159"/>
      <c r="H1314" s="159"/>
      <c r="I1314" s="159"/>
      <c r="J1314" s="159"/>
      <c r="K1314" s="159"/>
      <c r="L1314" s="159"/>
      <c r="M1314" s="159"/>
      <c r="N1314" s="159"/>
      <c r="O1314" s="160"/>
    </row>
    <row r="1315" ht="1.5" customHeight="1">
      <c r="A1315" s="161"/>
      <c r="B1315" s="162"/>
      <c r="C1315" s="163"/>
      <c r="D1315" s="164"/>
      <c r="E1315" s="165"/>
      <c r="F1315" s="165"/>
      <c r="G1315" s="165"/>
      <c r="H1315" s="165"/>
      <c r="I1315" s="165"/>
      <c r="J1315" s="165"/>
      <c r="K1315" s="165"/>
      <c r="L1315" s="165"/>
      <c r="M1315" s="165"/>
      <c r="N1315" s="165"/>
      <c r="O1315" s="166"/>
    </row>
    <row r="1316" ht="1.5" customHeight="1">
      <c r="A1316" s="155"/>
      <c r="B1316" s="156"/>
      <c r="C1316" s="157"/>
      <c r="D1316" s="158"/>
      <c r="E1316" s="159"/>
      <c r="F1316" s="159"/>
      <c r="G1316" s="159"/>
      <c r="H1316" s="159"/>
      <c r="I1316" s="159"/>
      <c r="J1316" s="159"/>
      <c r="K1316" s="159"/>
      <c r="L1316" s="159"/>
      <c r="M1316" s="159"/>
      <c r="N1316" s="159"/>
      <c r="O1316" s="160"/>
    </row>
    <row r="1317" ht="1.5" customHeight="1">
      <c r="A1317" s="161"/>
      <c r="B1317" s="162"/>
      <c r="C1317" s="163"/>
      <c r="D1317" s="164"/>
      <c r="E1317" s="165"/>
      <c r="F1317" s="165"/>
      <c r="G1317" s="165"/>
      <c r="H1317" s="165"/>
      <c r="I1317" s="165"/>
      <c r="J1317" s="165"/>
      <c r="K1317" s="165"/>
      <c r="L1317" s="165"/>
      <c r="M1317" s="165"/>
      <c r="N1317" s="165"/>
      <c r="O1317" s="166"/>
    </row>
    <row r="1318" ht="1.5" customHeight="1">
      <c r="A1318" s="155"/>
      <c r="B1318" s="156"/>
      <c r="C1318" s="157"/>
      <c r="D1318" s="158"/>
      <c r="E1318" s="159"/>
      <c r="F1318" s="159"/>
      <c r="G1318" s="159"/>
      <c r="H1318" s="159"/>
      <c r="I1318" s="159"/>
      <c r="J1318" s="159"/>
      <c r="K1318" s="159"/>
      <c r="L1318" s="159"/>
      <c r="M1318" s="159"/>
      <c r="N1318" s="159"/>
      <c r="O1318" s="160"/>
    </row>
    <row r="1319" ht="1.5" customHeight="1">
      <c r="A1319" s="161"/>
      <c r="B1319" s="162"/>
      <c r="C1319" s="163"/>
      <c r="D1319" s="164"/>
      <c r="E1319" s="165"/>
      <c r="F1319" s="165"/>
      <c r="G1319" s="165"/>
      <c r="H1319" s="165"/>
      <c r="I1319" s="165"/>
      <c r="J1319" s="165"/>
      <c r="K1319" s="165"/>
      <c r="L1319" s="165"/>
      <c r="M1319" s="165"/>
      <c r="N1319" s="165"/>
      <c r="O1319" s="166"/>
    </row>
    <row r="1320" ht="1.5" customHeight="1">
      <c r="A1320" s="155"/>
      <c r="B1320" s="156"/>
      <c r="C1320" s="157"/>
      <c r="D1320" s="158"/>
      <c r="E1320" s="159"/>
      <c r="F1320" s="159"/>
      <c r="G1320" s="159"/>
      <c r="H1320" s="159"/>
      <c r="I1320" s="159"/>
      <c r="J1320" s="159"/>
      <c r="K1320" s="159"/>
      <c r="L1320" s="159"/>
      <c r="M1320" s="159"/>
      <c r="N1320" s="159"/>
      <c r="O1320" s="160"/>
    </row>
    <row r="1321" ht="1.5" customHeight="1">
      <c r="A1321" s="161"/>
      <c r="B1321" s="162"/>
      <c r="C1321" s="163"/>
      <c r="D1321" s="164"/>
      <c r="E1321" s="165"/>
      <c r="F1321" s="165"/>
      <c r="G1321" s="165"/>
      <c r="H1321" s="165"/>
      <c r="I1321" s="165"/>
      <c r="J1321" s="165"/>
      <c r="K1321" s="165"/>
      <c r="L1321" s="165"/>
      <c r="M1321" s="165"/>
      <c r="N1321" s="165"/>
      <c r="O1321" s="166"/>
    </row>
    <row r="1322" ht="1.5" customHeight="1">
      <c r="A1322" s="155"/>
      <c r="B1322" s="156"/>
      <c r="C1322" s="157"/>
      <c r="D1322" s="158"/>
      <c r="E1322" s="159"/>
      <c r="F1322" s="159"/>
      <c r="G1322" s="159"/>
      <c r="H1322" s="159"/>
      <c r="I1322" s="159"/>
      <c r="J1322" s="159"/>
      <c r="K1322" s="159"/>
      <c r="L1322" s="159"/>
      <c r="M1322" s="159"/>
      <c r="N1322" s="159"/>
      <c r="O1322" s="160"/>
    </row>
    <row r="1323" ht="1.5" customHeight="1">
      <c r="A1323" s="161"/>
      <c r="B1323" s="162"/>
      <c r="C1323" s="163"/>
      <c r="D1323" s="164"/>
      <c r="E1323" s="165"/>
      <c r="F1323" s="165"/>
      <c r="G1323" s="165"/>
      <c r="H1323" s="165"/>
      <c r="I1323" s="165"/>
      <c r="J1323" s="165"/>
      <c r="K1323" s="165"/>
      <c r="L1323" s="165"/>
      <c r="M1323" s="165"/>
      <c r="N1323" s="165"/>
      <c r="O1323" s="166"/>
    </row>
    <row r="1324" ht="1.5" customHeight="1">
      <c r="A1324" s="155"/>
      <c r="B1324" s="156"/>
      <c r="C1324" s="157"/>
      <c r="D1324" s="158"/>
      <c r="E1324" s="159"/>
      <c r="F1324" s="159"/>
      <c r="G1324" s="159"/>
      <c r="H1324" s="159"/>
      <c r="I1324" s="159"/>
      <c r="J1324" s="159"/>
      <c r="K1324" s="159"/>
      <c r="L1324" s="159"/>
      <c r="M1324" s="159"/>
      <c r="N1324" s="159"/>
      <c r="O1324" s="160"/>
    </row>
    <row r="1325" ht="1.5" customHeight="1">
      <c r="A1325" s="161"/>
      <c r="B1325" s="162"/>
      <c r="C1325" s="163"/>
      <c r="D1325" s="164"/>
      <c r="E1325" s="165"/>
      <c r="F1325" s="165"/>
      <c r="G1325" s="165"/>
      <c r="H1325" s="165"/>
      <c r="I1325" s="165"/>
      <c r="J1325" s="165"/>
      <c r="K1325" s="165"/>
      <c r="L1325" s="165"/>
      <c r="M1325" s="165"/>
      <c r="N1325" s="165"/>
      <c r="O1325" s="166"/>
    </row>
    <row r="1326" ht="1.5" customHeight="1">
      <c r="A1326" s="155"/>
      <c r="B1326" s="156"/>
      <c r="C1326" s="157"/>
      <c r="D1326" s="158"/>
      <c r="E1326" s="159"/>
      <c r="F1326" s="159"/>
      <c r="G1326" s="159"/>
      <c r="H1326" s="159"/>
      <c r="I1326" s="159"/>
      <c r="J1326" s="159"/>
      <c r="K1326" s="159"/>
      <c r="L1326" s="159"/>
      <c r="M1326" s="159"/>
      <c r="N1326" s="159"/>
      <c r="O1326" s="160"/>
    </row>
    <row r="1327" ht="1.5" customHeight="1">
      <c r="A1327" s="161"/>
      <c r="B1327" s="162"/>
      <c r="C1327" s="163"/>
      <c r="D1327" s="164"/>
      <c r="E1327" s="165"/>
      <c r="F1327" s="165"/>
      <c r="G1327" s="165"/>
      <c r="H1327" s="165"/>
      <c r="I1327" s="165"/>
      <c r="J1327" s="165"/>
      <c r="K1327" s="165"/>
      <c r="L1327" s="165"/>
      <c r="M1327" s="165"/>
      <c r="N1327" s="165"/>
      <c r="O1327" s="166"/>
    </row>
    <row r="1328" ht="1.5" customHeight="1">
      <c r="A1328" s="155"/>
      <c r="B1328" s="156"/>
      <c r="C1328" s="157"/>
      <c r="D1328" s="158"/>
      <c r="E1328" s="159"/>
      <c r="F1328" s="159"/>
      <c r="G1328" s="159"/>
      <c r="H1328" s="159"/>
      <c r="I1328" s="159"/>
      <c r="J1328" s="159"/>
      <c r="K1328" s="159"/>
      <c r="L1328" s="159"/>
      <c r="M1328" s="159"/>
      <c r="N1328" s="159"/>
      <c r="O1328" s="160"/>
    </row>
    <row r="1329" ht="1.5" customHeight="1">
      <c r="A1329" s="161"/>
      <c r="B1329" s="162"/>
      <c r="C1329" s="163"/>
      <c r="D1329" s="164"/>
      <c r="E1329" s="165"/>
      <c r="F1329" s="165"/>
      <c r="G1329" s="165"/>
      <c r="H1329" s="165"/>
      <c r="I1329" s="165"/>
      <c r="J1329" s="165"/>
      <c r="K1329" s="165"/>
      <c r="L1329" s="165"/>
      <c r="M1329" s="165"/>
      <c r="N1329" s="165"/>
      <c r="O1329" s="166"/>
    </row>
    <row r="1330" ht="1.5" customHeight="1">
      <c r="A1330" s="155"/>
      <c r="B1330" s="156"/>
      <c r="C1330" s="157"/>
      <c r="D1330" s="158"/>
      <c r="E1330" s="159"/>
      <c r="F1330" s="159"/>
      <c r="G1330" s="159"/>
      <c r="H1330" s="159"/>
      <c r="I1330" s="159"/>
      <c r="J1330" s="159"/>
      <c r="K1330" s="159"/>
      <c r="L1330" s="159"/>
      <c r="M1330" s="159"/>
      <c r="N1330" s="159"/>
      <c r="O1330" s="160"/>
    </row>
    <row r="1331" ht="1.5" customHeight="1">
      <c r="A1331" s="161"/>
      <c r="B1331" s="162"/>
      <c r="C1331" s="163"/>
      <c r="D1331" s="164"/>
      <c r="E1331" s="165"/>
      <c r="F1331" s="165"/>
      <c r="G1331" s="165"/>
      <c r="H1331" s="165"/>
      <c r="I1331" s="165"/>
      <c r="J1331" s="165"/>
      <c r="K1331" s="165"/>
      <c r="L1331" s="165"/>
      <c r="M1331" s="165"/>
      <c r="N1331" s="165"/>
      <c r="O1331" s="166"/>
    </row>
    <row r="1332" ht="1.5" customHeight="1">
      <c r="A1332" s="155"/>
      <c r="B1332" s="156"/>
      <c r="C1332" s="157"/>
      <c r="D1332" s="158"/>
      <c r="E1332" s="159"/>
      <c r="F1332" s="159"/>
      <c r="G1332" s="159"/>
      <c r="H1332" s="159"/>
      <c r="I1332" s="159"/>
      <c r="J1332" s="159"/>
      <c r="K1332" s="159"/>
      <c r="L1332" s="159"/>
      <c r="M1332" s="159"/>
      <c r="N1332" s="159"/>
      <c r="O1332" s="160"/>
    </row>
    <row r="1333" ht="1.5" customHeight="1">
      <c r="A1333" s="161"/>
      <c r="B1333" s="162"/>
      <c r="C1333" s="163"/>
      <c r="D1333" s="164"/>
      <c r="E1333" s="165"/>
      <c r="F1333" s="165"/>
      <c r="G1333" s="165"/>
      <c r="H1333" s="165"/>
      <c r="I1333" s="165"/>
      <c r="J1333" s="165"/>
      <c r="K1333" s="165"/>
      <c r="L1333" s="165"/>
      <c r="M1333" s="165"/>
      <c r="N1333" s="165"/>
      <c r="O1333" s="166"/>
    </row>
    <row r="1334" ht="1.5" customHeight="1">
      <c r="A1334" s="155"/>
      <c r="B1334" s="156"/>
      <c r="C1334" s="157"/>
      <c r="D1334" s="158"/>
      <c r="E1334" s="159"/>
      <c r="F1334" s="159"/>
      <c r="G1334" s="159"/>
      <c r="H1334" s="159"/>
      <c r="I1334" s="159"/>
      <c r="J1334" s="159"/>
      <c r="K1334" s="159"/>
      <c r="L1334" s="159"/>
      <c r="M1334" s="159"/>
      <c r="N1334" s="159"/>
      <c r="O1334" s="160"/>
    </row>
    <row r="1335" ht="1.5" customHeight="1">
      <c r="A1335" s="161"/>
      <c r="B1335" s="162"/>
      <c r="C1335" s="163"/>
      <c r="D1335" s="164"/>
      <c r="E1335" s="165"/>
      <c r="F1335" s="165"/>
      <c r="G1335" s="165"/>
      <c r="H1335" s="165"/>
      <c r="I1335" s="165"/>
      <c r="J1335" s="165"/>
      <c r="K1335" s="165"/>
      <c r="L1335" s="165"/>
      <c r="M1335" s="165"/>
      <c r="N1335" s="165"/>
      <c r="O1335" s="166"/>
    </row>
    <row r="1336" ht="1.5" customHeight="1">
      <c r="A1336" s="155"/>
      <c r="B1336" s="156"/>
      <c r="C1336" s="157"/>
      <c r="D1336" s="158"/>
      <c r="E1336" s="159"/>
      <c r="F1336" s="159"/>
      <c r="G1336" s="159"/>
      <c r="H1336" s="159"/>
      <c r="I1336" s="159"/>
      <c r="J1336" s="159"/>
      <c r="K1336" s="159"/>
      <c r="L1336" s="159"/>
      <c r="M1336" s="159"/>
      <c r="N1336" s="159"/>
      <c r="O1336" s="160"/>
    </row>
    <row r="1337" ht="1.5" customHeight="1">
      <c r="A1337" s="161"/>
      <c r="B1337" s="162"/>
      <c r="C1337" s="163"/>
      <c r="D1337" s="164"/>
      <c r="E1337" s="165"/>
      <c r="F1337" s="165"/>
      <c r="G1337" s="165"/>
      <c r="H1337" s="165"/>
      <c r="I1337" s="165"/>
      <c r="J1337" s="165"/>
      <c r="K1337" s="165"/>
      <c r="L1337" s="165"/>
      <c r="M1337" s="165"/>
      <c r="N1337" s="165"/>
      <c r="O1337" s="166"/>
    </row>
    <row r="1338" ht="1.5" customHeight="1">
      <c r="A1338" s="155"/>
      <c r="B1338" s="156"/>
      <c r="C1338" s="157"/>
      <c r="D1338" s="158"/>
      <c r="E1338" s="159"/>
      <c r="F1338" s="159"/>
      <c r="G1338" s="159"/>
      <c r="H1338" s="159"/>
      <c r="I1338" s="159"/>
      <c r="J1338" s="159"/>
      <c r="K1338" s="159"/>
      <c r="L1338" s="159"/>
      <c r="M1338" s="159"/>
      <c r="N1338" s="159"/>
      <c r="O1338" s="160"/>
    </row>
    <row r="1339" ht="1.5" customHeight="1">
      <c r="A1339" s="161"/>
      <c r="B1339" s="162"/>
      <c r="C1339" s="163"/>
      <c r="D1339" s="164"/>
      <c r="E1339" s="165"/>
      <c r="F1339" s="165"/>
      <c r="G1339" s="165"/>
      <c r="H1339" s="165"/>
      <c r="I1339" s="165"/>
      <c r="J1339" s="165"/>
      <c r="K1339" s="165"/>
      <c r="L1339" s="165"/>
      <c r="M1339" s="165"/>
      <c r="N1339" s="165"/>
      <c r="O1339" s="166"/>
    </row>
    <row r="1340" ht="1.5" customHeight="1">
      <c r="A1340" s="155"/>
      <c r="B1340" s="156"/>
      <c r="C1340" s="157"/>
      <c r="D1340" s="158"/>
      <c r="E1340" s="159"/>
      <c r="F1340" s="159"/>
      <c r="G1340" s="159"/>
      <c r="H1340" s="159"/>
      <c r="I1340" s="159"/>
      <c r="J1340" s="159"/>
      <c r="K1340" s="159"/>
      <c r="L1340" s="159"/>
      <c r="M1340" s="159"/>
      <c r="N1340" s="159"/>
      <c r="O1340" s="160"/>
    </row>
    <row r="1341" ht="1.5" customHeight="1">
      <c r="A1341" s="161"/>
      <c r="B1341" s="162"/>
      <c r="C1341" s="163"/>
      <c r="D1341" s="164"/>
      <c r="E1341" s="165"/>
      <c r="F1341" s="165"/>
      <c r="G1341" s="165"/>
      <c r="H1341" s="165"/>
      <c r="I1341" s="165"/>
      <c r="J1341" s="165"/>
      <c r="K1341" s="165"/>
      <c r="L1341" s="165"/>
      <c r="M1341" s="165"/>
      <c r="N1341" s="165"/>
      <c r="O1341" s="166"/>
    </row>
    <row r="1342" ht="1.5" customHeight="1">
      <c r="A1342" s="155"/>
      <c r="B1342" s="156"/>
      <c r="C1342" s="157"/>
      <c r="D1342" s="158"/>
      <c r="E1342" s="159"/>
      <c r="F1342" s="159"/>
      <c r="G1342" s="159"/>
      <c r="H1342" s="159"/>
      <c r="I1342" s="159"/>
      <c r="J1342" s="159"/>
      <c r="K1342" s="159"/>
      <c r="L1342" s="159"/>
      <c r="M1342" s="159"/>
      <c r="N1342" s="159"/>
      <c r="O1342" s="160"/>
    </row>
    <row r="1343" ht="1.5" customHeight="1">
      <c r="A1343" s="161"/>
      <c r="B1343" s="162"/>
      <c r="C1343" s="163"/>
      <c r="D1343" s="164"/>
      <c r="E1343" s="165"/>
      <c r="F1343" s="165"/>
      <c r="G1343" s="165"/>
      <c r="H1343" s="165"/>
      <c r="I1343" s="165"/>
      <c r="J1343" s="165"/>
      <c r="K1343" s="165"/>
      <c r="L1343" s="165"/>
      <c r="M1343" s="165"/>
      <c r="N1343" s="165"/>
      <c r="O1343" s="166"/>
    </row>
    <row r="1344" ht="1.5" customHeight="1">
      <c r="A1344" s="155"/>
      <c r="B1344" s="156"/>
      <c r="C1344" s="157"/>
      <c r="D1344" s="158"/>
      <c r="E1344" s="159"/>
      <c r="F1344" s="159"/>
      <c r="G1344" s="159"/>
      <c r="H1344" s="159"/>
      <c r="I1344" s="159"/>
      <c r="J1344" s="159"/>
      <c r="K1344" s="159"/>
      <c r="L1344" s="159"/>
      <c r="M1344" s="159"/>
      <c r="N1344" s="159"/>
      <c r="O1344" s="160"/>
    </row>
    <row r="1345" ht="1.5" customHeight="1">
      <c r="A1345" s="161"/>
      <c r="B1345" s="162"/>
      <c r="C1345" s="163"/>
      <c r="D1345" s="164"/>
      <c r="E1345" s="165"/>
      <c r="F1345" s="165"/>
      <c r="G1345" s="165"/>
      <c r="H1345" s="165"/>
      <c r="I1345" s="165"/>
      <c r="J1345" s="165"/>
      <c r="K1345" s="165"/>
      <c r="L1345" s="165"/>
      <c r="M1345" s="165"/>
      <c r="N1345" s="165"/>
      <c r="O1345" s="166"/>
    </row>
    <row r="1346" ht="1.5" customHeight="1">
      <c r="A1346" s="155"/>
      <c r="B1346" s="156"/>
      <c r="C1346" s="157"/>
      <c r="D1346" s="158"/>
      <c r="E1346" s="159"/>
      <c r="F1346" s="159"/>
      <c r="G1346" s="159"/>
      <c r="H1346" s="159"/>
      <c r="I1346" s="159"/>
      <c r="J1346" s="159"/>
      <c r="K1346" s="159"/>
      <c r="L1346" s="159"/>
      <c r="M1346" s="159"/>
      <c r="N1346" s="159"/>
      <c r="O1346" s="160"/>
    </row>
    <row r="1347" ht="1.5" customHeight="1">
      <c r="A1347" s="161"/>
      <c r="B1347" s="162"/>
      <c r="C1347" s="163"/>
      <c r="D1347" s="164"/>
      <c r="E1347" s="165"/>
      <c r="F1347" s="165"/>
      <c r="G1347" s="165"/>
      <c r="H1347" s="165"/>
      <c r="I1347" s="165"/>
      <c r="J1347" s="165"/>
      <c r="K1347" s="165"/>
      <c r="L1347" s="165"/>
      <c r="M1347" s="165"/>
      <c r="N1347" s="165"/>
      <c r="O1347" s="166"/>
    </row>
    <row r="1348" ht="1.5" customHeight="1">
      <c r="A1348" s="155"/>
      <c r="B1348" s="156"/>
      <c r="C1348" s="157"/>
      <c r="D1348" s="158"/>
      <c r="E1348" s="159"/>
      <c r="F1348" s="159"/>
      <c r="G1348" s="159"/>
      <c r="H1348" s="159"/>
      <c r="I1348" s="159"/>
      <c r="J1348" s="159"/>
      <c r="K1348" s="159"/>
      <c r="L1348" s="159"/>
      <c r="M1348" s="159"/>
      <c r="N1348" s="159"/>
      <c r="O1348" s="160"/>
    </row>
    <row r="1349" ht="1.5" customHeight="1">
      <c r="A1349" s="161"/>
      <c r="B1349" s="162"/>
      <c r="C1349" s="163"/>
      <c r="D1349" s="164"/>
      <c r="E1349" s="165"/>
      <c r="F1349" s="165"/>
      <c r="G1349" s="165"/>
      <c r="H1349" s="165"/>
      <c r="I1349" s="165"/>
      <c r="J1349" s="165"/>
      <c r="K1349" s="165"/>
      <c r="L1349" s="165"/>
      <c r="M1349" s="165"/>
      <c r="N1349" s="165"/>
      <c r="O1349" s="166"/>
    </row>
    <row r="1350" ht="1.5" customHeight="1">
      <c r="A1350" s="155"/>
      <c r="B1350" s="156"/>
      <c r="C1350" s="157"/>
      <c r="D1350" s="158"/>
      <c r="E1350" s="159"/>
      <c r="F1350" s="159"/>
      <c r="G1350" s="159"/>
      <c r="H1350" s="159"/>
      <c r="I1350" s="159"/>
      <c r="J1350" s="159"/>
      <c r="K1350" s="159"/>
      <c r="L1350" s="159"/>
      <c r="M1350" s="159"/>
      <c r="N1350" s="159"/>
      <c r="O1350" s="160"/>
    </row>
    <row r="1351" ht="1.5" customHeight="1">
      <c r="A1351" s="161"/>
      <c r="B1351" s="162"/>
      <c r="C1351" s="163"/>
      <c r="D1351" s="164"/>
      <c r="E1351" s="165"/>
      <c r="F1351" s="165"/>
      <c r="G1351" s="165"/>
      <c r="H1351" s="165"/>
      <c r="I1351" s="165"/>
      <c r="J1351" s="165"/>
      <c r="K1351" s="165"/>
      <c r="L1351" s="165"/>
      <c r="M1351" s="165"/>
      <c r="N1351" s="165"/>
      <c r="O1351" s="166"/>
    </row>
    <row r="1352" ht="1.5" customHeight="1">
      <c r="A1352" s="155"/>
      <c r="B1352" s="156"/>
      <c r="C1352" s="157"/>
      <c r="D1352" s="158"/>
      <c r="E1352" s="159"/>
      <c r="F1352" s="159"/>
      <c r="G1352" s="159"/>
      <c r="H1352" s="159"/>
      <c r="I1352" s="159"/>
      <c r="J1352" s="159"/>
      <c r="K1352" s="159"/>
      <c r="L1352" s="159"/>
      <c r="M1352" s="159"/>
      <c r="N1352" s="159"/>
      <c r="O1352" s="160"/>
    </row>
    <row r="1353" ht="1.5" customHeight="1">
      <c r="A1353" s="161"/>
      <c r="B1353" s="162"/>
      <c r="C1353" s="163"/>
      <c r="D1353" s="164"/>
      <c r="E1353" s="165"/>
      <c r="F1353" s="165"/>
      <c r="G1353" s="165"/>
      <c r="H1353" s="165"/>
      <c r="I1353" s="165"/>
      <c r="J1353" s="165"/>
      <c r="K1353" s="165"/>
      <c r="L1353" s="165"/>
      <c r="M1353" s="165"/>
      <c r="N1353" s="165"/>
      <c r="O1353" s="166"/>
    </row>
    <row r="1354" ht="1.5" customHeight="1">
      <c r="A1354" s="155"/>
      <c r="B1354" s="156"/>
      <c r="C1354" s="157"/>
      <c r="D1354" s="158"/>
      <c r="E1354" s="159"/>
      <c r="F1354" s="159"/>
      <c r="G1354" s="159"/>
      <c r="H1354" s="159"/>
      <c r="I1354" s="159"/>
      <c r="J1354" s="159"/>
      <c r="K1354" s="159"/>
      <c r="L1354" s="159"/>
      <c r="M1354" s="159"/>
      <c r="N1354" s="159"/>
      <c r="O1354" s="160"/>
    </row>
    <row r="1355" ht="1.5" customHeight="1">
      <c r="A1355" s="161"/>
      <c r="B1355" s="162"/>
      <c r="C1355" s="163"/>
      <c r="D1355" s="164"/>
      <c r="E1355" s="165"/>
      <c r="F1355" s="165"/>
      <c r="G1355" s="165"/>
      <c r="H1355" s="165"/>
      <c r="I1355" s="165"/>
      <c r="J1355" s="165"/>
      <c r="K1355" s="165"/>
      <c r="L1355" s="165"/>
      <c r="M1355" s="165"/>
      <c r="N1355" s="165"/>
      <c r="O1355" s="166"/>
    </row>
    <row r="1356" ht="1.5" customHeight="1">
      <c r="A1356" s="155"/>
      <c r="B1356" s="156"/>
      <c r="C1356" s="157"/>
      <c r="D1356" s="158"/>
      <c r="E1356" s="159"/>
      <c r="F1356" s="159"/>
      <c r="G1356" s="159"/>
      <c r="H1356" s="159"/>
      <c r="I1356" s="159"/>
      <c r="J1356" s="159"/>
      <c r="K1356" s="159"/>
      <c r="L1356" s="159"/>
      <c r="M1356" s="159"/>
      <c r="N1356" s="159"/>
      <c r="O1356" s="160"/>
    </row>
    <row r="1357" ht="1.5" customHeight="1">
      <c r="A1357" s="161"/>
      <c r="B1357" s="162"/>
      <c r="C1357" s="163"/>
      <c r="D1357" s="164"/>
      <c r="E1357" s="165"/>
      <c r="F1357" s="165"/>
      <c r="G1357" s="165"/>
      <c r="H1357" s="165"/>
      <c r="I1357" s="165"/>
      <c r="J1357" s="165"/>
      <c r="K1357" s="165"/>
      <c r="L1357" s="165"/>
      <c r="M1357" s="165"/>
      <c r="N1357" s="165"/>
      <c r="O1357" s="166"/>
    </row>
    <row r="1358" ht="1.5" customHeight="1">
      <c r="A1358" s="155"/>
      <c r="B1358" s="156"/>
      <c r="C1358" s="157"/>
      <c r="D1358" s="158"/>
      <c r="E1358" s="159"/>
      <c r="F1358" s="159"/>
      <c r="G1358" s="159"/>
      <c r="H1358" s="159"/>
      <c r="I1358" s="159"/>
      <c r="J1358" s="159"/>
      <c r="K1358" s="159"/>
      <c r="L1358" s="159"/>
      <c r="M1358" s="159"/>
      <c r="N1358" s="159"/>
      <c r="O1358" s="160"/>
    </row>
    <row r="1359" ht="1.5" customHeight="1">
      <c r="A1359" s="161"/>
      <c r="B1359" s="162"/>
      <c r="C1359" s="163"/>
      <c r="D1359" s="164"/>
      <c r="E1359" s="165"/>
      <c r="F1359" s="165"/>
      <c r="G1359" s="165"/>
      <c r="H1359" s="165"/>
      <c r="I1359" s="165"/>
      <c r="J1359" s="165"/>
      <c r="K1359" s="165"/>
      <c r="L1359" s="165"/>
      <c r="M1359" s="165"/>
      <c r="N1359" s="165"/>
      <c r="O1359" s="166"/>
    </row>
    <row r="1360" ht="1.5" customHeight="1">
      <c r="A1360" s="155"/>
      <c r="B1360" s="156"/>
      <c r="C1360" s="157"/>
      <c r="D1360" s="158"/>
      <c r="E1360" s="159"/>
      <c r="F1360" s="159"/>
      <c r="G1360" s="159"/>
      <c r="H1360" s="159"/>
      <c r="I1360" s="159"/>
      <c r="J1360" s="159"/>
      <c r="K1360" s="159"/>
      <c r="L1360" s="159"/>
      <c r="M1360" s="159"/>
      <c r="N1360" s="159"/>
      <c r="O1360" s="160"/>
    </row>
    <row r="1361" ht="1.5" customHeight="1">
      <c r="A1361" s="161"/>
      <c r="B1361" s="162"/>
      <c r="C1361" s="163"/>
      <c r="D1361" s="164"/>
      <c r="E1361" s="165"/>
      <c r="F1361" s="165"/>
      <c r="G1361" s="165"/>
      <c r="H1361" s="165"/>
      <c r="I1361" s="165"/>
      <c r="J1361" s="165"/>
      <c r="K1361" s="165"/>
      <c r="L1361" s="165"/>
      <c r="M1361" s="165"/>
      <c r="N1361" s="165"/>
      <c r="O1361" s="166"/>
    </row>
    <row r="1362" ht="1.5" customHeight="1">
      <c r="A1362" s="155"/>
      <c r="B1362" s="156"/>
      <c r="C1362" s="157"/>
      <c r="D1362" s="158"/>
      <c r="E1362" s="159"/>
      <c r="F1362" s="159"/>
      <c r="G1362" s="159"/>
      <c r="H1362" s="159"/>
      <c r="I1362" s="159"/>
      <c r="J1362" s="159"/>
      <c r="K1362" s="159"/>
      <c r="L1362" s="159"/>
      <c r="M1362" s="159"/>
      <c r="N1362" s="159"/>
      <c r="O1362" s="160"/>
    </row>
    <row r="1363" ht="1.5" customHeight="1">
      <c r="A1363" s="161"/>
      <c r="B1363" s="162"/>
      <c r="C1363" s="163"/>
      <c r="D1363" s="164"/>
      <c r="E1363" s="165"/>
      <c r="F1363" s="165"/>
      <c r="G1363" s="165"/>
      <c r="H1363" s="165"/>
      <c r="I1363" s="165"/>
      <c r="J1363" s="165"/>
      <c r="K1363" s="165"/>
      <c r="L1363" s="165"/>
      <c r="M1363" s="165"/>
      <c r="N1363" s="165"/>
      <c r="O1363" s="166"/>
    </row>
    <row r="1364" ht="1.5" customHeight="1">
      <c r="A1364" s="155"/>
      <c r="B1364" s="156"/>
      <c r="C1364" s="157"/>
      <c r="D1364" s="158"/>
      <c r="E1364" s="159"/>
      <c r="F1364" s="159"/>
      <c r="G1364" s="159"/>
      <c r="H1364" s="159"/>
      <c r="I1364" s="159"/>
      <c r="J1364" s="159"/>
      <c r="K1364" s="159"/>
      <c r="L1364" s="159"/>
      <c r="M1364" s="159"/>
      <c r="N1364" s="159"/>
      <c r="O1364" s="160"/>
    </row>
    <row r="1365" ht="1.5" customHeight="1">
      <c r="A1365" s="161"/>
      <c r="B1365" s="162"/>
      <c r="C1365" s="163"/>
      <c r="D1365" s="164"/>
      <c r="E1365" s="165"/>
      <c r="F1365" s="165"/>
      <c r="G1365" s="165"/>
      <c r="H1365" s="165"/>
      <c r="I1365" s="165"/>
      <c r="J1365" s="165"/>
      <c r="K1365" s="165"/>
      <c r="L1365" s="165"/>
      <c r="M1365" s="165"/>
      <c r="N1365" s="165"/>
      <c r="O1365" s="166"/>
    </row>
    <row r="1366" ht="1.5" customHeight="1">
      <c r="A1366" s="155"/>
      <c r="B1366" s="156"/>
      <c r="C1366" s="157"/>
      <c r="D1366" s="158"/>
      <c r="E1366" s="159"/>
      <c r="F1366" s="159"/>
      <c r="G1366" s="159"/>
      <c r="H1366" s="159"/>
      <c r="I1366" s="159"/>
      <c r="J1366" s="159"/>
      <c r="K1366" s="159"/>
      <c r="L1366" s="159"/>
      <c r="M1366" s="159"/>
      <c r="N1366" s="159"/>
      <c r="O1366" s="160"/>
    </row>
    <row r="1367" ht="1.5" customHeight="1">
      <c r="A1367" s="161"/>
      <c r="B1367" s="162"/>
      <c r="C1367" s="163"/>
      <c r="D1367" s="164"/>
      <c r="E1367" s="165"/>
      <c r="F1367" s="165"/>
      <c r="G1367" s="165"/>
      <c r="H1367" s="165"/>
      <c r="I1367" s="165"/>
      <c r="J1367" s="165"/>
      <c r="K1367" s="165"/>
      <c r="L1367" s="165"/>
      <c r="M1367" s="165"/>
      <c r="N1367" s="165"/>
      <c r="O1367" s="166"/>
    </row>
    <row r="1368" ht="1.5" customHeight="1">
      <c r="A1368" s="155"/>
      <c r="B1368" s="156"/>
      <c r="C1368" s="157"/>
      <c r="D1368" s="158"/>
      <c r="E1368" s="159"/>
      <c r="F1368" s="159"/>
      <c r="G1368" s="159"/>
      <c r="H1368" s="159"/>
      <c r="I1368" s="159"/>
      <c r="J1368" s="159"/>
      <c r="K1368" s="159"/>
      <c r="L1368" s="159"/>
      <c r="M1368" s="159"/>
      <c r="N1368" s="159"/>
      <c r="O1368" s="160"/>
    </row>
    <row r="1369" ht="1.5" customHeight="1">
      <c r="A1369" s="161"/>
      <c r="B1369" s="162"/>
      <c r="C1369" s="163"/>
      <c r="D1369" s="164"/>
      <c r="E1369" s="165"/>
      <c r="F1369" s="165"/>
      <c r="G1369" s="165"/>
      <c r="H1369" s="165"/>
      <c r="I1369" s="165"/>
      <c r="J1369" s="165"/>
      <c r="K1369" s="165"/>
      <c r="L1369" s="165"/>
      <c r="M1369" s="165"/>
      <c r="N1369" s="165"/>
      <c r="O1369" s="166"/>
    </row>
    <row r="1370" ht="1.5" customHeight="1">
      <c r="A1370" s="155"/>
      <c r="B1370" s="156"/>
      <c r="C1370" s="157"/>
      <c r="D1370" s="158"/>
      <c r="E1370" s="159"/>
      <c r="F1370" s="159"/>
      <c r="G1370" s="159"/>
      <c r="H1370" s="159"/>
      <c r="I1370" s="159"/>
      <c r="J1370" s="159"/>
      <c r="K1370" s="159"/>
      <c r="L1370" s="159"/>
      <c r="M1370" s="159"/>
      <c r="N1370" s="159"/>
      <c r="O1370" s="160"/>
    </row>
    <row r="1371" ht="1.5" customHeight="1">
      <c r="A1371" s="161"/>
      <c r="B1371" s="162"/>
      <c r="C1371" s="163"/>
      <c r="D1371" s="164"/>
      <c r="E1371" s="165"/>
      <c r="F1371" s="165"/>
      <c r="G1371" s="165"/>
      <c r="H1371" s="165"/>
      <c r="I1371" s="165"/>
      <c r="J1371" s="165"/>
      <c r="K1371" s="165"/>
      <c r="L1371" s="165"/>
      <c r="M1371" s="165"/>
      <c r="N1371" s="165"/>
      <c r="O1371" s="166"/>
    </row>
    <row r="1372" ht="1.5" customHeight="1">
      <c r="A1372" s="155"/>
      <c r="B1372" s="156"/>
      <c r="C1372" s="157"/>
      <c r="D1372" s="158"/>
      <c r="E1372" s="159"/>
      <c r="F1372" s="159"/>
      <c r="G1372" s="159"/>
      <c r="H1372" s="159"/>
      <c r="I1372" s="159"/>
      <c r="J1372" s="159"/>
      <c r="K1372" s="159"/>
      <c r="L1372" s="159"/>
      <c r="M1372" s="159"/>
      <c r="N1372" s="159"/>
      <c r="O1372" s="160"/>
    </row>
    <row r="1373" ht="1.5" customHeight="1">
      <c r="A1373" s="161"/>
      <c r="B1373" s="162"/>
      <c r="C1373" s="163"/>
      <c r="D1373" s="164"/>
      <c r="E1373" s="165"/>
      <c r="F1373" s="165"/>
      <c r="G1373" s="165"/>
      <c r="H1373" s="165"/>
      <c r="I1373" s="165"/>
      <c r="J1373" s="165"/>
      <c r="K1373" s="165"/>
      <c r="L1373" s="165"/>
      <c r="M1373" s="165"/>
      <c r="N1373" s="165"/>
      <c r="O1373" s="166"/>
    </row>
    <row r="1374" ht="1.5" customHeight="1">
      <c r="A1374" s="155"/>
      <c r="B1374" s="156"/>
      <c r="C1374" s="157"/>
      <c r="D1374" s="158"/>
      <c r="E1374" s="159"/>
      <c r="F1374" s="159"/>
      <c r="G1374" s="159"/>
      <c r="H1374" s="159"/>
      <c r="I1374" s="159"/>
      <c r="J1374" s="159"/>
      <c r="K1374" s="159"/>
      <c r="L1374" s="159"/>
      <c r="M1374" s="159"/>
      <c r="N1374" s="159"/>
      <c r="O1374" s="160"/>
    </row>
    <row r="1375" ht="1.5" customHeight="1">
      <c r="A1375" s="161"/>
      <c r="B1375" s="162"/>
      <c r="C1375" s="163"/>
      <c r="D1375" s="164"/>
      <c r="E1375" s="165"/>
      <c r="F1375" s="165"/>
      <c r="G1375" s="165"/>
      <c r="H1375" s="165"/>
      <c r="I1375" s="165"/>
      <c r="J1375" s="165"/>
      <c r="K1375" s="165"/>
      <c r="L1375" s="165"/>
      <c r="M1375" s="165"/>
      <c r="N1375" s="165"/>
      <c r="O1375" s="166"/>
    </row>
    <row r="1376" ht="1.5" customHeight="1">
      <c r="A1376" s="155"/>
      <c r="B1376" s="156"/>
      <c r="C1376" s="157"/>
      <c r="D1376" s="158"/>
      <c r="E1376" s="159"/>
      <c r="F1376" s="159"/>
      <c r="G1376" s="159"/>
      <c r="H1376" s="159"/>
      <c r="I1376" s="159"/>
      <c r="J1376" s="159"/>
      <c r="K1376" s="159"/>
      <c r="L1376" s="159"/>
      <c r="M1376" s="159"/>
      <c r="N1376" s="159"/>
      <c r="O1376" s="160"/>
    </row>
    <row r="1377" ht="1.5" customHeight="1">
      <c r="A1377" s="161"/>
      <c r="B1377" s="162"/>
      <c r="C1377" s="163"/>
      <c r="D1377" s="164"/>
      <c r="E1377" s="165"/>
      <c r="F1377" s="165"/>
      <c r="G1377" s="165"/>
      <c r="H1377" s="165"/>
      <c r="I1377" s="165"/>
      <c r="J1377" s="165"/>
      <c r="K1377" s="165"/>
      <c r="L1377" s="165"/>
      <c r="M1377" s="165"/>
      <c r="N1377" s="165"/>
      <c r="O1377" s="166"/>
    </row>
    <row r="1378" ht="1.5" customHeight="1">
      <c r="A1378" s="155"/>
      <c r="B1378" s="156"/>
      <c r="C1378" s="157"/>
      <c r="D1378" s="158"/>
      <c r="E1378" s="159"/>
      <c r="F1378" s="159"/>
      <c r="G1378" s="159"/>
      <c r="H1378" s="159"/>
      <c r="I1378" s="159"/>
      <c r="J1378" s="159"/>
      <c r="K1378" s="159"/>
      <c r="L1378" s="159"/>
      <c r="M1378" s="159"/>
      <c r="N1378" s="159"/>
      <c r="O1378" s="160"/>
    </row>
    <row r="1379" ht="1.5" customHeight="1">
      <c r="A1379" s="161"/>
      <c r="B1379" s="162"/>
      <c r="C1379" s="163"/>
      <c r="D1379" s="164"/>
      <c r="E1379" s="165"/>
      <c r="F1379" s="165"/>
      <c r="G1379" s="165"/>
      <c r="H1379" s="165"/>
      <c r="I1379" s="165"/>
      <c r="J1379" s="165"/>
      <c r="K1379" s="165"/>
      <c r="L1379" s="165"/>
      <c r="M1379" s="165"/>
      <c r="N1379" s="165"/>
      <c r="O1379" s="166"/>
    </row>
    <row r="1380" ht="1.5" customHeight="1">
      <c r="A1380" s="155"/>
      <c r="B1380" s="156"/>
      <c r="C1380" s="157"/>
      <c r="D1380" s="158"/>
      <c r="E1380" s="159"/>
      <c r="F1380" s="159"/>
      <c r="G1380" s="159"/>
      <c r="H1380" s="159"/>
      <c r="I1380" s="159"/>
      <c r="J1380" s="159"/>
      <c r="K1380" s="159"/>
      <c r="L1380" s="159"/>
      <c r="M1380" s="159"/>
      <c r="N1380" s="159"/>
      <c r="O1380" s="160"/>
    </row>
    <row r="1381" ht="1.5" customHeight="1">
      <c r="A1381" s="161"/>
      <c r="B1381" s="162"/>
      <c r="C1381" s="163"/>
      <c r="D1381" s="164"/>
      <c r="E1381" s="165"/>
      <c r="F1381" s="165"/>
      <c r="G1381" s="165"/>
      <c r="H1381" s="165"/>
      <c r="I1381" s="165"/>
      <c r="J1381" s="165"/>
      <c r="K1381" s="165"/>
      <c r="L1381" s="165"/>
      <c r="M1381" s="165"/>
      <c r="N1381" s="165"/>
      <c r="O1381" s="166"/>
    </row>
    <row r="1382" ht="1.5" customHeight="1">
      <c r="A1382" s="155"/>
      <c r="B1382" s="156"/>
      <c r="C1382" s="157"/>
      <c r="D1382" s="158"/>
      <c r="E1382" s="159"/>
      <c r="F1382" s="159"/>
      <c r="G1382" s="159"/>
      <c r="H1382" s="159"/>
      <c r="I1382" s="159"/>
      <c r="J1382" s="159"/>
      <c r="K1382" s="159"/>
      <c r="L1382" s="159"/>
      <c r="M1382" s="159"/>
      <c r="N1382" s="159"/>
      <c r="O1382" s="160"/>
    </row>
    <row r="1383" ht="1.5" customHeight="1">
      <c r="A1383" s="161"/>
      <c r="B1383" s="162"/>
      <c r="C1383" s="163"/>
      <c r="D1383" s="164"/>
      <c r="E1383" s="165"/>
      <c r="F1383" s="165"/>
      <c r="G1383" s="165"/>
      <c r="H1383" s="165"/>
      <c r="I1383" s="165"/>
      <c r="J1383" s="165"/>
      <c r="K1383" s="165"/>
      <c r="L1383" s="165"/>
      <c r="M1383" s="165"/>
      <c r="N1383" s="165"/>
      <c r="O1383" s="166"/>
    </row>
    <row r="1384" ht="1.5" customHeight="1">
      <c r="A1384" s="155"/>
      <c r="B1384" s="156"/>
      <c r="C1384" s="157"/>
      <c r="D1384" s="158"/>
      <c r="E1384" s="159"/>
      <c r="F1384" s="159"/>
      <c r="G1384" s="159"/>
      <c r="H1384" s="159"/>
      <c r="I1384" s="159"/>
      <c r="J1384" s="159"/>
      <c r="K1384" s="159"/>
      <c r="L1384" s="159"/>
      <c r="M1384" s="159"/>
      <c r="N1384" s="159"/>
      <c r="O1384" s="160"/>
    </row>
    <row r="1385" ht="1.5" customHeight="1">
      <c r="A1385" s="161"/>
      <c r="B1385" s="162"/>
      <c r="C1385" s="163"/>
      <c r="D1385" s="164"/>
      <c r="E1385" s="165"/>
      <c r="F1385" s="165"/>
      <c r="G1385" s="165"/>
      <c r="H1385" s="165"/>
      <c r="I1385" s="165"/>
      <c r="J1385" s="165"/>
      <c r="K1385" s="165"/>
      <c r="L1385" s="165"/>
      <c r="M1385" s="165"/>
      <c r="N1385" s="165"/>
      <c r="O1385" s="166"/>
    </row>
    <row r="1386" ht="1.5" customHeight="1">
      <c r="A1386" s="155"/>
      <c r="B1386" s="156"/>
      <c r="C1386" s="157"/>
      <c r="D1386" s="158"/>
      <c r="E1386" s="159"/>
      <c r="F1386" s="159"/>
      <c r="G1386" s="159"/>
      <c r="H1386" s="159"/>
      <c r="I1386" s="159"/>
      <c r="J1386" s="159"/>
      <c r="K1386" s="159"/>
      <c r="L1386" s="159"/>
      <c r="M1386" s="159"/>
      <c r="N1386" s="159"/>
      <c r="O1386" s="160"/>
    </row>
    <row r="1387" ht="1.5" customHeight="1">
      <c r="A1387" s="161"/>
      <c r="B1387" s="162"/>
      <c r="C1387" s="163"/>
      <c r="D1387" s="164"/>
      <c r="E1387" s="165"/>
      <c r="F1387" s="165"/>
      <c r="G1387" s="165"/>
      <c r="H1387" s="165"/>
      <c r="I1387" s="165"/>
      <c r="J1387" s="165"/>
      <c r="K1387" s="165"/>
      <c r="L1387" s="165"/>
      <c r="M1387" s="165"/>
      <c r="N1387" s="165"/>
      <c r="O1387" s="166"/>
    </row>
    <row r="1388" ht="1.5" customHeight="1">
      <c r="A1388" s="155"/>
      <c r="B1388" s="156"/>
      <c r="C1388" s="157"/>
      <c r="D1388" s="158"/>
      <c r="E1388" s="159"/>
      <c r="F1388" s="159"/>
      <c r="G1388" s="159"/>
      <c r="H1388" s="159"/>
      <c r="I1388" s="159"/>
      <c r="J1388" s="159"/>
      <c r="K1388" s="159"/>
      <c r="L1388" s="159"/>
      <c r="M1388" s="159"/>
      <c r="N1388" s="159"/>
      <c r="O1388" s="160"/>
    </row>
    <row r="1389" ht="1.5" customHeight="1">
      <c r="A1389" s="161"/>
      <c r="B1389" s="162"/>
      <c r="C1389" s="163"/>
      <c r="D1389" s="164"/>
      <c r="E1389" s="165"/>
      <c r="F1389" s="165"/>
      <c r="G1389" s="165"/>
      <c r="H1389" s="165"/>
      <c r="I1389" s="165"/>
      <c r="J1389" s="165"/>
      <c r="K1389" s="165"/>
      <c r="L1389" s="165"/>
      <c r="M1389" s="165"/>
      <c r="N1389" s="165"/>
      <c r="O1389" s="166"/>
    </row>
    <row r="1390" ht="1.5" customHeight="1">
      <c r="A1390" s="155"/>
      <c r="B1390" s="156"/>
      <c r="C1390" s="157"/>
      <c r="D1390" s="158"/>
      <c r="E1390" s="159"/>
      <c r="F1390" s="159"/>
      <c r="G1390" s="159"/>
      <c r="H1390" s="159"/>
      <c r="I1390" s="159"/>
      <c r="J1390" s="159"/>
      <c r="K1390" s="159"/>
      <c r="L1390" s="159"/>
      <c r="M1390" s="159"/>
      <c r="N1390" s="159"/>
      <c r="O1390" s="160"/>
    </row>
    <row r="1391" ht="1.5" customHeight="1">
      <c r="A1391" s="161"/>
      <c r="B1391" s="162"/>
      <c r="C1391" s="163"/>
      <c r="D1391" s="164"/>
      <c r="E1391" s="165"/>
      <c r="F1391" s="165"/>
      <c r="G1391" s="165"/>
      <c r="H1391" s="165"/>
      <c r="I1391" s="165"/>
      <c r="J1391" s="165"/>
      <c r="K1391" s="165"/>
      <c r="L1391" s="165"/>
      <c r="M1391" s="165"/>
      <c r="N1391" s="165"/>
      <c r="O1391" s="166"/>
    </row>
    <row r="1392" ht="1.5" customHeight="1">
      <c r="A1392" s="155"/>
      <c r="B1392" s="156"/>
      <c r="C1392" s="157"/>
      <c r="D1392" s="158"/>
      <c r="E1392" s="159"/>
      <c r="F1392" s="159"/>
      <c r="G1392" s="159"/>
      <c r="H1392" s="159"/>
      <c r="I1392" s="159"/>
      <c r="J1392" s="159"/>
      <c r="K1392" s="159"/>
      <c r="L1392" s="159"/>
      <c r="M1392" s="159"/>
      <c r="N1392" s="159"/>
      <c r="O1392" s="160"/>
    </row>
    <row r="1393" ht="1.5" customHeight="1">
      <c r="A1393" s="161"/>
      <c r="B1393" s="162"/>
      <c r="C1393" s="163"/>
      <c r="D1393" s="164"/>
      <c r="E1393" s="165"/>
      <c r="F1393" s="165"/>
      <c r="G1393" s="165"/>
      <c r="H1393" s="165"/>
      <c r="I1393" s="165"/>
      <c r="J1393" s="165"/>
      <c r="K1393" s="165"/>
      <c r="L1393" s="165"/>
      <c r="M1393" s="165"/>
      <c r="N1393" s="165"/>
      <c r="O1393" s="166"/>
    </row>
    <row r="1394" ht="1.5" customHeight="1">
      <c r="A1394" s="155"/>
      <c r="B1394" s="156"/>
      <c r="C1394" s="157"/>
      <c r="D1394" s="158"/>
      <c r="E1394" s="159"/>
      <c r="F1394" s="159"/>
      <c r="G1394" s="159"/>
      <c r="H1394" s="159"/>
      <c r="I1394" s="159"/>
      <c r="J1394" s="159"/>
      <c r="K1394" s="159"/>
      <c r="L1394" s="159"/>
      <c r="M1394" s="159"/>
      <c r="N1394" s="159"/>
      <c r="O1394" s="160"/>
    </row>
    <row r="1395" ht="1.5" customHeight="1">
      <c r="A1395" s="161"/>
      <c r="B1395" s="162"/>
      <c r="C1395" s="163"/>
      <c r="D1395" s="164"/>
      <c r="E1395" s="165"/>
      <c r="F1395" s="165"/>
      <c r="G1395" s="165"/>
      <c r="H1395" s="165"/>
      <c r="I1395" s="165"/>
      <c r="J1395" s="165"/>
      <c r="K1395" s="165"/>
      <c r="L1395" s="165"/>
      <c r="M1395" s="165"/>
      <c r="N1395" s="165"/>
      <c r="O1395" s="166"/>
    </row>
    <row r="1396" ht="1.5" customHeight="1">
      <c r="A1396" s="155"/>
      <c r="B1396" s="156"/>
      <c r="C1396" s="157"/>
      <c r="D1396" s="158"/>
      <c r="E1396" s="159"/>
      <c r="F1396" s="159"/>
      <c r="G1396" s="159"/>
      <c r="H1396" s="159"/>
      <c r="I1396" s="159"/>
      <c r="J1396" s="159"/>
      <c r="K1396" s="159"/>
      <c r="L1396" s="159"/>
      <c r="M1396" s="159"/>
      <c r="N1396" s="159"/>
      <c r="O1396" s="160"/>
    </row>
    <row r="1397" ht="1.5" customHeight="1">
      <c r="A1397" s="161"/>
      <c r="B1397" s="162"/>
      <c r="C1397" s="163"/>
      <c r="D1397" s="164"/>
      <c r="E1397" s="165"/>
      <c r="F1397" s="165"/>
      <c r="G1397" s="165"/>
      <c r="H1397" s="165"/>
      <c r="I1397" s="165"/>
      <c r="J1397" s="165"/>
      <c r="K1397" s="165"/>
      <c r="L1397" s="165"/>
      <c r="M1397" s="165"/>
      <c r="N1397" s="165"/>
      <c r="O1397" s="166"/>
    </row>
    <row r="1398" ht="1.5" customHeight="1">
      <c r="A1398" s="155"/>
      <c r="B1398" s="156"/>
      <c r="C1398" s="157"/>
      <c r="D1398" s="158"/>
      <c r="E1398" s="159"/>
      <c r="F1398" s="159"/>
      <c r="G1398" s="159"/>
      <c r="H1398" s="159"/>
      <c r="I1398" s="159"/>
      <c r="J1398" s="159"/>
      <c r="K1398" s="159"/>
      <c r="L1398" s="159"/>
      <c r="M1398" s="159"/>
      <c r="N1398" s="159"/>
      <c r="O1398" s="160"/>
    </row>
    <row r="1399" ht="1.5" customHeight="1">
      <c r="A1399" s="161"/>
      <c r="B1399" s="162"/>
      <c r="C1399" s="163"/>
      <c r="D1399" s="164"/>
      <c r="E1399" s="165"/>
      <c r="F1399" s="165"/>
      <c r="G1399" s="165"/>
      <c r="H1399" s="165"/>
      <c r="I1399" s="165"/>
      <c r="J1399" s="165"/>
      <c r="K1399" s="165"/>
      <c r="L1399" s="165"/>
      <c r="M1399" s="165"/>
      <c r="N1399" s="165"/>
      <c r="O1399" s="166"/>
    </row>
    <row r="1400" ht="1.5" customHeight="1">
      <c r="A1400" s="155"/>
      <c r="B1400" s="156"/>
      <c r="C1400" s="157"/>
      <c r="D1400" s="158"/>
      <c r="E1400" s="159"/>
      <c r="F1400" s="159"/>
      <c r="G1400" s="159"/>
      <c r="H1400" s="159"/>
      <c r="I1400" s="159"/>
      <c r="J1400" s="159"/>
      <c r="K1400" s="159"/>
      <c r="L1400" s="159"/>
      <c r="M1400" s="159"/>
      <c r="N1400" s="159"/>
      <c r="O1400" s="160"/>
    </row>
    <row r="1401" ht="1.5" customHeight="1">
      <c r="A1401" s="161"/>
      <c r="B1401" s="162"/>
      <c r="C1401" s="163"/>
      <c r="D1401" s="164"/>
      <c r="E1401" s="165"/>
      <c r="F1401" s="165"/>
      <c r="G1401" s="165"/>
      <c r="H1401" s="165"/>
      <c r="I1401" s="165"/>
      <c r="J1401" s="165"/>
      <c r="K1401" s="165"/>
      <c r="L1401" s="165"/>
      <c r="M1401" s="165"/>
      <c r="N1401" s="165"/>
      <c r="O1401" s="166"/>
    </row>
    <row r="1402" ht="1.5" customHeight="1">
      <c r="A1402" s="155"/>
      <c r="B1402" s="156"/>
      <c r="C1402" s="157"/>
      <c r="D1402" s="158"/>
      <c r="E1402" s="159"/>
      <c r="F1402" s="159"/>
      <c r="G1402" s="159"/>
      <c r="H1402" s="159"/>
      <c r="I1402" s="159"/>
      <c r="J1402" s="159"/>
      <c r="K1402" s="159"/>
      <c r="L1402" s="159"/>
      <c r="M1402" s="159"/>
      <c r="N1402" s="159"/>
      <c r="O1402" s="160"/>
    </row>
    <row r="1403" ht="1.5" customHeight="1">
      <c r="A1403" s="161"/>
      <c r="B1403" s="162"/>
      <c r="C1403" s="163"/>
      <c r="D1403" s="164"/>
      <c r="E1403" s="165"/>
      <c r="F1403" s="165"/>
      <c r="G1403" s="165"/>
      <c r="H1403" s="165"/>
      <c r="I1403" s="165"/>
      <c r="J1403" s="165"/>
      <c r="K1403" s="165"/>
      <c r="L1403" s="165"/>
      <c r="M1403" s="165"/>
      <c r="N1403" s="165"/>
      <c r="O1403" s="166"/>
    </row>
    <row r="1404" ht="1.5" customHeight="1">
      <c r="A1404" s="155"/>
      <c r="B1404" s="156"/>
      <c r="C1404" s="157"/>
      <c r="D1404" s="158"/>
      <c r="E1404" s="159"/>
      <c r="F1404" s="159"/>
      <c r="G1404" s="159"/>
      <c r="H1404" s="159"/>
      <c r="I1404" s="159"/>
      <c r="J1404" s="159"/>
      <c r="K1404" s="159"/>
      <c r="L1404" s="159"/>
      <c r="M1404" s="159"/>
      <c r="N1404" s="159"/>
      <c r="O1404" s="160"/>
    </row>
    <row r="1405" ht="1.5" customHeight="1">
      <c r="A1405" s="161"/>
      <c r="B1405" s="162"/>
      <c r="C1405" s="163"/>
      <c r="D1405" s="164"/>
      <c r="E1405" s="165"/>
      <c r="F1405" s="165"/>
      <c r="G1405" s="165"/>
      <c r="H1405" s="165"/>
      <c r="I1405" s="165"/>
      <c r="J1405" s="165"/>
      <c r="K1405" s="165"/>
      <c r="L1405" s="165"/>
      <c r="M1405" s="165"/>
      <c r="N1405" s="165"/>
      <c r="O1405" s="166"/>
    </row>
    <row r="1406" ht="1.5" customHeight="1">
      <c r="A1406" s="155"/>
      <c r="B1406" s="156"/>
      <c r="C1406" s="157"/>
      <c r="D1406" s="158"/>
      <c r="E1406" s="159"/>
      <c r="F1406" s="159"/>
      <c r="G1406" s="159"/>
      <c r="H1406" s="159"/>
      <c r="I1406" s="159"/>
      <c r="J1406" s="159"/>
      <c r="K1406" s="159"/>
      <c r="L1406" s="159"/>
      <c r="M1406" s="159"/>
      <c r="N1406" s="159"/>
      <c r="O1406" s="160"/>
    </row>
    <row r="1407" ht="1.5" customHeight="1">
      <c r="A1407" s="161"/>
      <c r="B1407" s="162"/>
      <c r="C1407" s="163"/>
      <c r="D1407" s="164"/>
      <c r="E1407" s="165"/>
      <c r="F1407" s="165"/>
      <c r="G1407" s="165"/>
      <c r="H1407" s="165"/>
      <c r="I1407" s="165"/>
      <c r="J1407" s="165"/>
      <c r="K1407" s="165"/>
      <c r="L1407" s="165"/>
      <c r="M1407" s="165"/>
      <c r="N1407" s="165"/>
      <c r="O1407" s="166"/>
    </row>
    <row r="1408" ht="1.5" customHeight="1">
      <c r="A1408" s="155"/>
      <c r="B1408" s="156"/>
      <c r="C1408" s="157"/>
      <c r="D1408" s="158"/>
      <c r="E1408" s="159"/>
      <c r="F1408" s="159"/>
      <c r="G1408" s="159"/>
      <c r="H1408" s="159"/>
      <c r="I1408" s="159"/>
      <c r="J1408" s="159"/>
      <c r="K1408" s="159"/>
      <c r="L1408" s="159"/>
      <c r="M1408" s="159"/>
      <c r="N1408" s="159"/>
      <c r="O1408" s="160"/>
    </row>
    <row r="1409" ht="1.5" customHeight="1">
      <c r="A1409" s="161"/>
      <c r="B1409" s="162"/>
      <c r="C1409" s="163"/>
      <c r="D1409" s="164"/>
      <c r="E1409" s="165"/>
      <c r="F1409" s="165"/>
      <c r="G1409" s="165"/>
      <c r="H1409" s="165"/>
      <c r="I1409" s="165"/>
      <c r="J1409" s="165"/>
      <c r="K1409" s="165"/>
      <c r="L1409" s="165"/>
      <c r="M1409" s="165"/>
      <c r="N1409" s="165"/>
      <c r="O1409" s="166"/>
    </row>
    <row r="1410" ht="1.5" customHeight="1">
      <c r="A1410" s="155"/>
      <c r="B1410" s="156"/>
      <c r="C1410" s="157"/>
      <c r="D1410" s="158"/>
      <c r="E1410" s="159"/>
      <c r="F1410" s="159"/>
      <c r="G1410" s="159"/>
      <c r="H1410" s="159"/>
      <c r="I1410" s="159"/>
      <c r="J1410" s="159"/>
      <c r="K1410" s="159"/>
      <c r="L1410" s="159"/>
      <c r="M1410" s="159"/>
      <c r="N1410" s="159"/>
      <c r="O1410" s="160"/>
    </row>
    <row r="1411" ht="1.5" customHeight="1">
      <c r="A1411" s="161"/>
      <c r="B1411" s="162"/>
      <c r="C1411" s="163"/>
      <c r="D1411" s="164"/>
      <c r="E1411" s="165"/>
      <c r="F1411" s="165"/>
      <c r="G1411" s="165"/>
      <c r="H1411" s="165"/>
      <c r="I1411" s="165"/>
      <c r="J1411" s="165"/>
      <c r="K1411" s="165"/>
      <c r="L1411" s="165"/>
      <c r="M1411" s="165"/>
      <c r="N1411" s="165"/>
      <c r="O1411" s="166"/>
    </row>
    <row r="1412" ht="1.5" customHeight="1">
      <c r="A1412" s="155"/>
      <c r="B1412" s="156"/>
      <c r="C1412" s="157"/>
      <c r="D1412" s="158"/>
      <c r="E1412" s="159"/>
      <c r="F1412" s="159"/>
      <c r="G1412" s="159"/>
      <c r="H1412" s="159"/>
      <c r="I1412" s="159"/>
      <c r="J1412" s="159"/>
      <c r="K1412" s="159"/>
      <c r="L1412" s="159"/>
      <c r="M1412" s="159"/>
      <c r="N1412" s="159"/>
      <c r="O1412" s="160"/>
    </row>
    <row r="1413" ht="1.5" customHeight="1">
      <c r="A1413" s="161"/>
      <c r="B1413" s="162"/>
      <c r="C1413" s="163"/>
      <c r="D1413" s="164"/>
      <c r="E1413" s="165"/>
      <c r="F1413" s="165"/>
      <c r="G1413" s="165"/>
      <c r="H1413" s="165"/>
      <c r="I1413" s="165"/>
      <c r="J1413" s="165"/>
      <c r="K1413" s="165"/>
      <c r="L1413" s="165"/>
      <c r="M1413" s="165"/>
      <c r="N1413" s="165"/>
      <c r="O1413" s="166"/>
    </row>
    <row r="1414" ht="1.5" customHeight="1">
      <c r="A1414" s="155"/>
      <c r="B1414" s="156"/>
      <c r="C1414" s="157"/>
      <c r="D1414" s="158"/>
      <c r="E1414" s="159"/>
      <c r="F1414" s="159"/>
      <c r="G1414" s="159"/>
      <c r="H1414" s="159"/>
      <c r="I1414" s="159"/>
      <c r="J1414" s="159"/>
      <c r="K1414" s="159"/>
      <c r="L1414" s="159"/>
      <c r="M1414" s="159"/>
      <c r="N1414" s="159"/>
      <c r="O1414" s="160"/>
    </row>
    <row r="1415" ht="1.5" customHeight="1">
      <c r="A1415" s="161"/>
      <c r="B1415" s="162"/>
      <c r="C1415" s="163"/>
      <c r="D1415" s="164"/>
      <c r="E1415" s="165"/>
      <c r="F1415" s="165"/>
      <c r="G1415" s="165"/>
      <c r="H1415" s="165"/>
      <c r="I1415" s="165"/>
      <c r="J1415" s="165"/>
      <c r="K1415" s="165"/>
      <c r="L1415" s="165"/>
      <c r="M1415" s="165"/>
      <c r="N1415" s="165"/>
      <c r="O1415" s="166"/>
    </row>
    <row r="1416" ht="1.5" customHeight="1">
      <c r="A1416" s="155"/>
      <c r="B1416" s="156"/>
      <c r="C1416" s="157"/>
      <c r="D1416" s="158"/>
      <c r="E1416" s="159"/>
      <c r="F1416" s="159"/>
      <c r="G1416" s="159"/>
      <c r="H1416" s="159"/>
      <c r="I1416" s="159"/>
      <c r="J1416" s="159"/>
      <c r="K1416" s="159"/>
      <c r="L1416" s="159"/>
      <c r="M1416" s="159"/>
      <c r="N1416" s="159"/>
      <c r="O1416" s="160"/>
    </row>
    <row r="1417" ht="1.5" customHeight="1">
      <c r="A1417" s="161"/>
      <c r="B1417" s="162"/>
      <c r="C1417" s="163"/>
      <c r="D1417" s="164"/>
      <c r="E1417" s="165"/>
      <c r="F1417" s="165"/>
      <c r="G1417" s="165"/>
      <c r="H1417" s="165"/>
      <c r="I1417" s="165"/>
      <c r="J1417" s="165"/>
      <c r="K1417" s="165"/>
      <c r="L1417" s="165"/>
      <c r="M1417" s="165"/>
      <c r="N1417" s="165"/>
      <c r="O1417" s="166"/>
    </row>
    <row r="1418" ht="1.5" customHeight="1">
      <c r="A1418" s="155"/>
      <c r="B1418" s="156"/>
      <c r="C1418" s="157"/>
      <c r="D1418" s="158"/>
      <c r="E1418" s="159"/>
      <c r="F1418" s="159"/>
      <c r="G1418" s="159"/>
      <c r="H1418" s="159"/>
      <c r="I1418" s="159"/>
      <c r="J1418" s="159"/>
      <c r="K1418" s="159"/>
      <c r="L1418" s="159"/>
      <c r="M1418" s="159"/>
      <c r="N1418" s="159"/>
      <c r="O1418" s="160"/>
    </row>
    <row r="1419" ht="1.5" customHeight="1">
      <c r="A1419" s="161"/>
      <c r="B1419" s="162"/>
      <c r="C1419" s="163"/>
      <c r="D1419" s="164"/>
      <c r="E1419" s="165"/>
      <c r="F1419" s="165"/>
      <c r="G1419" s="165"/>
      <c r="H1419" s="165"/>
      <c r="I1419" s="165"/>
      <c r="J1419" s="165"/>
      <c r="K1419" s="165"/>
      <c r="L1419" s="165"/>
      <c r="M1419" s="165"/>
      <c r="N1419" s="165"/>
      <c r="O1419" s="166"/>
    </row>
    <row r="1420" ht="1.5" customHeight="1">
      <c r="A1420" s="155"/>
      <c r="B1420" s="156"/>
      <c r="C1420" s="157"/>
      <c r="D1420" s="158"/>
      <c r="E1420" s="159"/>
      <c r="F1420" s="159"/>
      <c r="G1420" s="159"/>
      <c r="H1420" s="159"/>
      <c r="I1420" s="159"/>
      <c r="J1420" s="159"/>
      <c r="K1420" s="159"/>
      <c r="L1420" s="159"/>
      <c r="M1420" s="159"/>
      <c r="N1420" s="159"/>
      <c r="O1420" s="160"/>
    </row>
    <row r="1421" ht="1.5" customHeight="1">
      <c r="A1421" s="161"/>
      <c r="B1421" s="162"/>
      <c r="C1421" s="163"/>
      <c r="D1421" s="164"/>
      <c r="E1421" s="165"/>
      <c r="F1421" s="165"/>
      <c r="G1421" s="165"/>
      <c r="H1421" s="165"/>
      <c r="I1421" s="165"/>
      <c r="J1421" s="165"/>
      <c r="K1421" s="165"/>
      <c r="L1421" s="165"/>
      <c r="M1421" s="165"/>
      <c r="N1421" s="165"/>
      <c r="O1421" s="166"/>
    </row>
    <row r="1422" ht="1.5" customHeight="1">
      <c r="A1422" s="155"/>
      <c r="B1422" s="156"/>
      <c r="C1422" s="157"/>
      <c r="D1422" s="158"/>
      <c r="E1422" s="159"/>
      <c r="F1422" s="159"/>
      <c r="G1422" s="159"/>
      <c r="H1422" s="159"/>
      <c r="I1422" s="159"/>
      <c r="J1422" s="159"/>
      <c r="K1422" s="159"/>
      <c r="L1422" s="159"/>
      <c r="M1422" s="159"/>
      <c r="N1422" s="159"/>
      <c r="O1422" s="160"/>
    </row>
    <row r="1423" ht="1.5" customHeight="1">
      <c r="A1423" s="161"/>
      <c r="B1423" s="162"/>
      <c r="C1423" s="163"/>
      <c r="D1423" s="164"/>
      <c r="E1423" s="165"/>
      <c r="F1423" s="165"/>
      <c r="G1423" s="165"/>
      <c r="H1423" s="165"/>
      <c r="I1423" s="165"/>
      <c r="J1423" s="165"/>
      <c r="K1423" s="165"/>
      <c r="L1423" s="165"/>
      <c r="M1423" s="165"/>
      <c r="N1423" s="165"/>
      <c r="O1423" s="166"/>
    </row>
    <row r="1424" ht="1.5" customHeight="1">
      <c r="A1424" s="155"/>
      <c r="B1424" s="156"/>
      <c r="C1424" s="157"/>
      <c r="D1424" s="158"/>
      <c r="E1424" s="159"/>
      <c r="F1424" s="159"/>
      <c r="G1424" s="159"/>
      <c r="H1424" s="159"/>
      <c r="I1424" s="159"/>
      <c r="J1424" s="159"/>
      <c r="K1424" s="159"/>
      <c r="L1424" s="159"/>
      <c r="M1424" s="159"/>
      <c r="N1424" s="159"/>
      <c r="O1424" s="160"/>
    </row>
    <row r="1425" ht="1.5" customHeight="1">
      <c r="A1425" s="161"/>
      <c r="B1425" s="162"/>
      <c r="C1425" s="163"/>
      <c r="D1425" s="164"/>
      <c r="E1425" s="165"/>
      <c r="F1425" s="165"/>
      <c r="G1425" s="165"/>
      <c r="H1425" s="165"/>
      <c r="I1425" s="165"/>
      <c r="J1425" s="165"/>
      <c r="K1425" s="165"/>
      <c r="L1425" s="165"/>
      <c r="M1425" s="165"/>
      <c r="N1425" s="165"/>
      <c r="O1425" s="166"/>
    </row>
    <row r="1426" ht="1.5" customHeight="1">
      <c r="A1426" s="155"/>
      <c r="B1426" s="156"/>
      <c r="C1426" s="157"/>
      <c r="D1426" s="158"/>
      <c r="E1426" s="159"/>
      <c r="F1426" s="159"/>
      <c r="G1426" s="159"/>
      <c r="H1426" s="159"/>
      <c r="I1426" s="159"/>
      <c r="J1426" s="159"/>
      <c r="K1426" s="159"/>
      <c r="L1426" s="159"/>
      <c r="M1426" s="159"/>
      <c r="N1426" s="159"/>
      <c r="O1426" s="160"/>
    </row>
    <row r="1427" ht="1.5" customHeight="1">
      <c r="A1427" s="161"/>
      <c r="B1427" s="162"/>
      <c r="C1427" s="163"/>
      <c r="D1427" s="164"/>
      <c r="E1427" s="165"/>
      <c r="F1427" s="165"/>
      <c r="G1427" s="165"/>
      <c r="H1427" s="165"/>
      <c r="I1427" s="165"/>
      <c r="J1427" s="165"/>
      <c r="K1427" s="165"/>
      <c r="L1427" s="165"/>
      <c r="M1427" s="165"/>
      <c r="N1427" s="165"/>
      <c r="O1427" s="166"/>
    </row>
    <row r="1428" ht="1.5" customHeight="1">
      <c r="A1428" s="155"/>
      <c r="B1428" s="156"/>
      <c r="C1428" s="157"/>
      <c r="D1428" s="158"/>
      <c r="E1428" s="159"/>
      <c r="F1428" s="159"/>
      <c r="G1428" s="159"/>
      <c r="H1428" s="159"/>
      <c r="I1428" s="159"/>
      <c r="J1428" s="159"/>
      <c r="K1428" s="159"/>
      <c r="L1428" s="159"/>
      <c r="M1428" s="159"/>
      <c r="N1428" s="159"/>
      <c r="O1428" s="160"/>
    </row>
    <row r="1429" ht="1.5" customHeight="1">
      <c r="A1429" s="161"/>
      <c r="B1429" s="162"/>
      <c r="C1429" s="163"/>
      <c r="D1429" s="164"/>
      <c r="E1429" s="165"/>
      <c r="F1429" s="165"/>
      <c r="G1429" s="165"/>
      <c r="H1429" s="165"/>
      <c r="I1429" s="165"/>
      <c r="J1429" s="165"/>
      <c r="K1429" s="165"/>
      <c r="L1429" s="165"/>
      <c r="M1429" s="165"/>
      <c r="N1429" s="165"/>
      <c r="O1429" s="166"/>
    </row>
    <row r="1430" ht="1.5" customHeight="1">
      <c r="A1430" s="155"/>
      <c r="B1430" s="156"/>
      <c r="C1430" s="157"/>
      <c r="D1430" s="158"/>
      <c r="E1430" s="159"/>
      <c r="F1430" s="159"/>
      <c r="G1430" s="159"/>
      <c r="H1430" s="159"/>
      <c r="I1430" s="159"/>
      <c r="J1430" s="159"/>
      <c r="K1430" s="159"/>
      <c r="L1430" s="159"/>
      <c r="M1430" s="159"/>
      <c r="N1430" s="159"/>
      <c r="O1430" s="160"/>
    </row>
    <row r="1431" ht="1.5" customHeight="1">
      <c r="A1431" s="161"/>
      <c r="B1431" s="162"/>
      <c r="C1431" s="163"/>
      <c r="D1431" s="164"/>
      <c r="E1431" s="165"/>
      <c r="F1431" s="165"/>
      <c r="G1431" s="165"/>
      <c r="H1431" s="165"/>
      <c r="I1431" s="165"/>
      <c r="J1431" s="165"/>
      <c r="K1431" s="165"/>
      <c r="L1431" s="165"/>
      <c r="M1431" s="165"/>
      <c r="N1431" s="165"/>
      <c r="O1431" s="166"/>
    </row>
    <row r="1432" ht="1.5" customHeight="1">
      <c r="A1432" s="155"/>
      <c r="B1432" s="156"/>
      <c r="C1432" s="157"/>
      <c r="D1432" s="158"/>
      <c r="E1432" s="159"/>
      <c r="F1432" s="159"/>
      <c r="G1432" s="159"/>
      <c r="H1432" s="159"/>
      <c r="I1432" s="159"/>
      <c r="J1432" s="159"/>
      <c r="K1432" s="159"/>
      <c r="L1432" s="159"/>
      <c r="M1432" s="159"/>
      <c r="N1432" s="159"/>
      <c r="O1432" s="160"/>
    </row>
    <row r="1433" ht="1.5" customHeight="1">
      <c r="A1433" s="161"/>
      <c r="B1433" s="162"/>
      <c r="C1433" s="163"/>
      <c r="D1433" s="164"/>
      <c r="E1433" s="165"/>
      <c r="F1433" s="165"/>
      <c r="G1433" s="165"/>
      <c r="H1433" s="165"/>
      <c r="I1433" s="165"/>
      <c r="J1433" s="165"/>
      <c r="K1433" s="165"/>
      <c r="L1433" s="165"/>
      <c r="M1433" s="165"/>
      <c r="N1433" s="165"/>
      <c r="O1433" s="166"/>
    </row>
    <row r="1434" ht="1.5" customHeight="1">
      <c r="A1434" s="155"/>
      <c r="B1434" s="156"/>
      <c r="C1434" s="157"/>
      <c r="D1434" s="158"/>
      <c r="E1434" s="159"/>
      <c r="F1434" s="159"/>
      <c r="G1434" s="159"/>
      <c r="H1434" s="159"/>
      <c r="I1434" s="159"/>
      <c r="J1434" s="159"/>
      <c r="K1434" s="159"/>
      <c r="L1434" s="159"/>
      <c r="M1434" s="159"/>
      <c r="N1434" s="159"/>
      <c r="O1434" s="160"/>
    </row>
    <row r="1435" ht="1.5" customHeight="1">
      <c r="A1435" s="161"/>
      <c r="B1435" s="162"/>
      <c r="C1435" s="163"/>
      <c r="D1435" s="164"/>
      <c r="E1435" s="165"/>
      <c r="F1435" s="165"/>
      <c r="G1435" s="165"/>
      <c r="H1435" s="165"/>
      <c r="I1435" s="165"/>
      <c r="J1435" s="165"/>
      <c r="K1435" s="165"/>
      <c r="L1435" s="165"/>
      <c r="M1435" s="165"/>
      <c r="N1435" s="165"/>
      <c r="O1435" s="166"/>
    </row>
    <row r="1436" ht="1.5" customHeight="1">
      <c r="A1436" s="155"/>
      <c r="B1436" s="156"/>
      <c r="C1436" s="157"/>
      <c r="D1436" s="158"/>
      <c r="E1436" s="159"/>
      <c r="F1436" s="159"/>
      <c r="G1436" s="159"/>
      <c r="H1436" s="159"/>
      <c r="I1436" s="159"/>
      <c r="J1436" s="159"/>
      <c r="K1436" s="159"/>
      <c r="L1436" s="159"/>
      <c r="M1436" s="159"/>
      <c r="N1436" s="159"/>
      <c r="O1436" s="160"/>
    </row>
    <row r="1437" ht="1.5" customHeight="1">
      <c r="A1437" s="161"/>
      <c r="B1437" s="162"/>
      <c r="C1437" s="163"/>
      <c r="D1437" s="164"/>
      <c r="E1437" s="165"/>
      <c r="F1437" s="165"/>
      <c r="G1437" s="165"/>
      <c r="H1437" s="165"/>
      <c r="I1437" s="165"/>
      <c r="J1437" s="165"/>
      <c r="K1437" s="165"/>
      <c r="L1437" s="165"/>
      <c r="M1437" s="165"/>
      <c r="N1437" s="165"/>
      <c r="O1437" s="166"/>
    </row>
    <row r="1438" ht="1.5" customHeight="1">
      <c r="A1438" s="155"/>
      <c r="B1438" s="156"/>
      <c r="C1438" s="157"/>
      <c r="D1438" s="158"/>
      <c r="E1438" s="159"/>
      <c r="F1438" s="159"/>
      <c r="G1438" s="159"/>
      <c r="H1438" s="159"/>
      <c r="I1438" s="159"/>
      <c r="J1438" s="159"/>
      <c r="K1438" s="159"/>
      <c r="L1438" s="159"/>
      <c r="M1438" s="159"/>
      <c r="N1438" s="159"/>
      <c r="O1438" s="160"/>
    </row>
    <row r="1439" ht="1.5" customHeight="1">
      <c r="A1439" s="161"/>
      <c r="B1439" s="162"/>
      <c r="C1439" s="163"/>
      <c r="D1439" s="164"/>
      <c r="E1439" s="165"/>
      <c r="F1439" s="165"/>
      <c r="G1439" s="165"/>
      <c r="H1439" s="165"/>
      <c r="I1439" s="165"/>
      <c r="J1439" s="165"/>
      <c r="K1439" s="165"/>
      <c r="L1439" s="165"/>
      <c r="M1439" s="165"/>
      <c r="N1439" s="165"/>
      <c r="O1439" s="166"/>
    </row>
    <row r="1440" ht="1.5" customHeight="1">
      <c r="A1440" s="155"/>
      <c r="B1440" s="156"/>
      <c r="C1440" s="157"/>
      <c r="D1440" s="158"/>
      <c r="E1440" s="159"/>
      <c r="F1440" s="159"/>
      <c r="G1440" s="159"/>
      <c r="H1440" s="159"/>
      <c r="I1440" s="159"/>
      <c r="J1440" s="159"/>
      <c r="K1440" s="159"/>
      <c r="L1440" s="159"/>
      <c r="M1440" s="159"/>
      <c r="N1440" s="159"/>
      <c r="O1440" s="160"/>
    </row>
    <row r="1441" ht="1.5" customHeight="1">
      <c r="A1441" s="161"/>
      <c r="B1441" s="162"/>
      <c r="C1441" s="163"/>
      <c r="D1441" s="164"/>
      <c r="E1441" s="165"/>
      <c r="F1441" s="165"/>
      <c r="G1441" s="165"/>
      <c r="H1441" s="165"/>
      <c r="I1441" s="165"/>
      <c r="J1441" s="165"/>
      <c r="K1441" s="165"/>
      <c r="L1441" s="165"/>
      <c r="M1441" s="165"/>
      <c r="N1441" s="165"/>
      <c r="O1441" s="166"/>
    </row>
    <row r="1442" ht="1.5" customHeight="1">
      <c r="A1442" s="155"/>
      <c r="B1442" s="156"/>
      <c r="C1442" s="157"/>
      <c r="D1442" s="158"/>
      <c r="E1442" s="159"/>
      <c r="F1442" s="159"/>
      <c r="G1442" s="159"/>
      <c r="H1442" s="159"/>
      <c r="I1442" s="159"/>
      <c r="J1442" s="159"/>
      <c r="K1442" s="159"/>
      <c r="L1442" s="159"/>
      <c r="M1442" s="159"/>
      <c r="N1442" s="159"/>
      <c r="O1442" s="160"/>
    </row>
    <row r="1443" ht="1.5" customHeight="1">
      <c r="A1443" s="161"/>
      <c r="B1443" s="162"/>
      <c r="C1443" s="163"/>
      <c r="D1443" s="164"/>
      <c r="E1443" s="165"/>
      <c r="F1443" s="165"/>
      <c r="G1443" s="165"/>
      <c r="H1443" s="165"/>
      <c r="I1443" s="165"/>
      <c r="J1443" s="165"/>
      <c r="K1443" s="165"/>
      <c r="L1443" s="165"/>
      <c r="M1443" s="165"/>
      <c r="N1443" s="165"/>
      <c r="O1443" s="166"/>
    </row>
    <row r="1444" ht="1.5" customHeight="1">
      <c r="A1444" s="155"/>
      <c r="B1444" s="156"/>
      <c r="C1444" s="157"/>
      <c r="D1444" s="158"/>
      <c r="E1444" s="159"/>
      <c r="F1444" s="159"/>
      <c r="G1444" s="159"/>
      <c r="H1444" s="159"/>
      <c r="I1444" s="159"/>
      <c r="J1444" s="159"/>
      <c r="K1444" s="159"/>
      <c r="L1444" s="159"/>
      <c r="M1444" s="159"/>
      <c r="N1444" s="159"/>
      <c r="O1444" s="160"/>
    </row>
    <row r="1445" ht="1.5" customHeight="1">
      <c r="A1445" s="161"/>
      <c r="B1445" s="162"/>
      <c r="C1445" s="163"/>
      <c r="D1445" s="164"/>
      <c r="E1445" s="165"/>
      <c r="F1445" s="165"/>
      <c r="G1445" s="165"/>
      <c r="H1445" s="165"/>
      <c r="I1445" s="165"/>
      <c r="J1445" s="165"/>
      <c r="K1445" s="165"/>
      <c r="L1445" s="165"/>
      <c r="M1445" s="165"/>
      <c r="N1445" s="165"/>
      <c r="O1445" s="166"/>
    </row>
    <row r="1446" ht="1.5" customHeight="1">
      <c r="A1446" s="155"/>
      <c r="B1446" s="156"/>
      <c r="C1446" s="157"/>
      <c r="D1446" s="158"/>
      <c r="E1446" s="159"/>
      <c r="F1446" s="159"/>
      <c r="G1446" s="159"/>
      <c r="H1446" s="159"/>
      <c r="I1446" s="159"/>
      <c r="J1446" s="159"/>
      <c r="K1446" s="159"/>
      <c r="L1446" s="159"/>
      <c r="M1446" s="159"/>
      <c r="N1446" s="159"/>
      <c r="O1446" s="160"/>
    </row>
    <row r="1447" ht="1.5" customHeight="1">
      <c r="A1447" s="161"/>
      <c r="B1447" s="162"/>
      <c r="C1447" s="163"/>
      <c r="D1447" s="164"/>
      <c r="E1447" s="165"/>
      <c r="F1447" s="165"/>
      <c r="G1447" s="165"/>
      <c r="H1447" s="165"/>
      <c r="I1447" s="165"/>
      <c r="J1447" s="165"/>
      <c r="K1447" s="165"/>
      <c r="L1447" s="165"/>
      <c r="M1447" s="165"/>
      <c r="N1447" s="165"/>
      <c r="O1447" s="166"/>
    </row>
    <row r="1448" ht="1.5" customHeight="1">
      <c r="A1448" s="155"/>
      <c r="B1448" s="156"/>
      <c r="C1448" s="157"/>
      <c r="D1448" s="158"/>
      <c r="E1448" s="159"/>
      <c r="F1448" s="159"/>
      <c r="G1448" s="159"/>
      <c r="H1448" s="159"/>
      <c r="I1448" s="159"/>
      <c r="J1448" s="159"/>
      <c r="K1448" s="159"/>
      <c r="L1448" s="159"/>
      <c r="M1448" s="159"/>
      <c r="N1448" s="159"/>
      <c r="O1448" s="160"/>
    </row>
    <row r="1449" ht="1.5" customHeight="1">
      <c r="A1449" s="161"/>
      <c r="B1449" s="162"/>
      <c r="C1449" s="163"/>
      <c r="D1449" s="164"/>
      <c r="E1449" s="165"/>
      <c r="F1449" s="165"/>
      <c r="G1449" s="165"/>
      <c r="H1449" s="165"/>
      <c r="I1449" s="165"/>
      <c r="J1449" s="165"/>
      <c r="K1449" s="165"/>
      <c r="L1449" s="165"/>
      <c r="M1449" s="165"/>
      <c r="N1449" s="165"/>
      <c r="O1449" s="166"/>
    </row>
    <row r="1450" ht="1.5" customHeight="1">
      <c r="A1450" s="155"/>
      <c r="B1450" s="156"/>
      <c r="C1450" s="157"/>
      <c r="D1450" s="158"/>
      <c r="E1450" s="159"/>
      <c r="F1450" s="159"/>
      <c r="G1450" s="159"/>
      <c r="H1450" s="159"/>
      <c r="I1450" s="159"/>
      <c r="J1450" s="159"/>
      <c r="K1450" s="159"/>
      <c r="L1450" s="159"/>
      <c r="M1450" s="159"/>
      <c r="N1450" s="159"/>
      <c r="O1450" s="160"/>
    </row>
    <row r="1451" ht="1.5" customHeight="1">
      <c r="A1451" s="161"/>
      <c r="B1451" s="162"/>
      <c r="C1451" s="163"/>
      <c r="D1451" s="164"/>
      <c r="E1451" s="165"/>
      <c r="F1451" s="165"/>
      <c r="G1451" s="165"/>
      <c r="H1451" s="165"/>
      <c r="I1451" s="165"/>
      <c r="J1451" s="165"/>
      <c r="K1451" s="165"/>
      <c r="L1451" s="165"/>
      <c r="M1451" s="165"/>
      <c r="N1451" s="165"/>
      <c r="O1451" s="166"/>
    </row>
    <row r="1452" ht="1.5" customHeight="1">
      <c r="A1452" s="155"/>
      <c r="B1452" s="156"/>
      <c r="C1452" s="157"/>
      <c r="D1452" s="158"/>
      <c r="E1452" s="159"/>
      <c r="F1452" s="159"/>
      <c r="G1452" s="159"/>
      <c r="H1452" s="159"/>
      <c r="I1452" s="159"/>
      <c r="J1452" s="159"/>
      <c r="K1452" s="159"/>
      <c r="L1452" s="159"/>
      <c r="M1452" s="159"/>
      <c r="N1452" s="159"/>
      <c r="O1452" s="160"/>
    </row>
    <row r="1453" ht="1.5" customHeight="1">
      <c r="A1453" s="161"/>
      <c r="B1453" s="162"/>
      <c r="C1453" s="163"/>
      <c r="D1453" s="164"/>
      <c r="E1453" s="165"/>
      <c r="F1453" s="165"/>
      <c r="G1453" s="165"/>
      <c r="H1453" s="165"/>
      <c r="I1453" s="165"/>
      <c r="J1453" s="165"/>
      <c r="K1453" s="165"/>
      <c r="L1453" s="165"/>
      <c r="M1453" s="165"/>
      <c r="N1453" s="165"/>
      <c r="O1453" s="166"/>
    </row>
    <row r="1454" ht="1.5" customHeight="1">
      <c r="A1454" s="155"/>
      <c r="B1454" s="156"/>
      <c r="C1454" s="157"/>
      <c r="D1454" s="158"/>
      <c r="E1454" s="159"/>
      <c r="F1454" s="159"/>
      <c r="G1454" s="159"/>
      <c r="H1454" s="159"/>
      <c r="I1454" s="159"/>
      <c r="J1454" s="159"/>
      <c r="K1454" s="159"/>
      <c r="L1454" s="159"/>
      <c r="M1454" s="159"/>
      <c r="N1454" s="159"/>
      <c r="O1454" s="160"/>
    </row>
    <row r="1455" ht="1.5" customHeight="1">
      <c r="A1455" s="161"/>
      <c r="B1455" s="162"/>
      <c r="C1455" s="163"/>
      <c r="D1455" s="164"/>
      <c r="E1455" s="165"/>
      <c r="F1455" s="165"/>
      <c r="G1455" s="165"/>
      <c r="H1455" s="165"/>
      <c r="I1455" s="165"/>
      <c r="J1455" s="165"/>
      <c r="K1455" s="165"/>
      <c r="L1455" s="165"/>
      <c r="M1455" s="165"/>
      <c r="N1455" s="165"/>
      <c r="O1455" s="166"/>
    </row>
    <row r="1456" ht="1.5" customHeight="1">
      <c r="A1456" s="155"/>
      <c r="B1456" s="156"/>
      <c r="C1456" s="157"/>
      <c r="D1456" s="158"/>
      <c r="E1456" s="159"/>
      <c r="F1456" s="159"/>
      <c r="G1456" s="159"/>
      <c r="H1456" s="159"/>
      <c r="I1456" s="159"/>
      <c r="J1456" s="159"/>
      <c r="K1456" s="159"/>
      <c r="L1456" s="159"/>
      <c r="M1456" s="159"/>
      <c r="N1456" s="159"/>
      <c r="O1456" s="160"/>
    </row>
    <row r="1457" ht="1.5" customHeight="1">
      <c r="A1457" s="161"/>
      <c r="B1457" s="162"/>
      <c r="C1457" s="163"/>
      <c r="D1457" s="164"/>
      <c r="E1457" s="165"/>
      <c r="F1457" s="165"/>
      <c r="G1457" s="165"/>
      <c r="H1457" s="165"/>
      <c r="I1457" s="165"/>
      <c r="J1457" s="165"/>
      <c r="K1457" s="165"/>
      <c r="L1457" s="165"/>
      <c r="M1457" s="165"/>
      <c r="N1457" s="165"/>
      <c r="O1457" s="166"/>
    </row>
    <row r="1458" ht="1.5" customHeight="1">
      <c r="A1458" s="155"/>
      <c r="B1458" s="156"/>
      <c r="C1458" s="157"/>
      <c r="D1458" s="158"/>
      <c r="E1458" s="159"/>
      <c r="F1458" s="159"/>
      <c r="G1458" s="159"/>
      <c r="H1458" s="159"/>
      <c r="I1458" s="159"/>
      <c r="J1458" s="159"/>
      <c r="K1458" s="159"/>
      <c r="L1458" s="159"/>
      <c r="M1458" s="159"/>
      <c r="N1458" s="159"/>
      <c r="O1458" s="160"/>
    </row>
    <row r="1459" ht="1.5" customHeight="1">
      <c r="A1459" s="161"/>
      <c r="B1459" s="162"/>
      <c r="C1459" s="163"/>
      <c r="D1459" s="164"/>
      <c r="E1459" s="165"/>
      <c r="F1459" s="165"/>
      <c r="G1459" s="165"/>
      <c r="H1459" s="165"/>
      <c r="I1459" s="165"/>
      <c r="J1459" s="165"/>
      <c r="K1459" s="165"/>
      <c r="L1459" s="165"/>
      <c r="M1459" s="165"/>
      <c r="N1459" s="165"/>
      <c r="O1459" s="166"/>
    </row>
    <row r="1460" ht="1.5" customHeight="1">
      <c r="A1460" s="155"/>
      <c r="B1460" s="156"/>
      <c r="C1460" s="157"/>
      <c r="D1460" s="158"/>
      <c r="E1460" s="159"/>
      <c r="F1460" s="159"/>
      <c r="G1460" s="159"/>
      <c r="H1460" s="159"/>
      <c r="I1460" s="159"/>
      <c r="J1460" s="159"/>
      <c r="K1460" s="159"/>
      <c r="L1460" s="159"/>
      <c r="M1460" s="159"/>
      <c r="N1460" s="159"/>
      <c r="O1460" s="160"/>
    </row>
    <row r="1461" ht="1.5" customHeight="1">
      <c r="A1461" s="161"/>
      <c r="B1461" s="162"/>
      <c r="C1461" s="163"/>
      <c r="D1461" s="164"/>
      <c r="E1461" s="165"/>
      <c r="F1461" s="165"/>
      <c r="G1461" s="165"/>
      <c r="H1461" s="165"/>
      <c r="I1461" s="165"/>
      <c r="J1461" s="165"/>
      <c r="K1461" s="165"/>
      <c r="L1461" s="165"/>
      <c r="M1461" s="165"/>
      <c r="N1461" s="165"/>
      <c r="O1461" s="166"/>
    </row>
    <row r="1462" ht="1.5" customHeight="1">
      <c r="A1462" s="155"/>
      <c r="B1462" s="156"/>
      <c r="C1462" s="157"/>
      <c r="D1462" s="158"/>
      <c r="E1462" s="159"/>
      <c r="F1462" s="159"/>
      <c r="G1462" s="159"/>
      <c r="H1462" s="159"/>
      <c r="I1462" s="159"/>
      <c r="J1462" s="159"/>
      <c r="K1462" s="159"/>
      <c r="L1462" s="159"/>
      <c r="M1462" s="159"/>
      <c r="N1462" s="159"/>
      <c r="O1462" s="160"/>
    </row>
    <row r="1463" ht="1.5" customHeight="1">
      <c r="A1463" s="161"/>
      <c r="B1463" s="162"/>
      <c r="C1463" s="163"/>
      <c r="D1463" s="164"/>
      <c r="E1463" s="165"/>
      <c r="F1463" s="165"/>
      <c r="G1463" s="165"/>
      <c r="H1463" s="165"/>
      <c r="I1463" s="165"/>
      <c r="J1463" s="165"/>
      <c r="K1463" s="165"/>
      <c r="L1463" s="165"/>
      <c r="M1463" s="165"/>
      <c r="N1463" s="165"/>
      <c r="O1463" s="166"/>
    </row>
    <row r="1464" ht="1.5" customHeight="1">
      <c r="A1464" s="155"/>
      <c r="B1464" s="156"/>
      <c r="C1464" s="157"/>
      <c r="D1464" s="158"/>
      <c r="E1464" s="159"/>
      <c r="F1464" s="159"/>
      <c r="G1464" s="159"/>
      <c r="H1464" s="159"/>
      <c r="I1464" s="159"/>
      <c r="J1464" s="159"/>
      <c r="K1464" s="159"/>
      <c r="L1464" s="159"/>
      <c r="M1464" s="159"/>
      <c r="N1464" s="159"/>
      <c r="O1464" s="160"/>
    </row>
    <row r="1465" ht="1.5" customHeight="1">
      <c r="A1465" s="161"/>
      <c r="B1465" s="162"/>
      <c r="C1465" s="163"/>
      <c r="D1465" s="164"/>
      <c r="E1465" s="165"/>
      <c r="F1465" s="165"/>
      <c r="G1465" s="165"/>
      <c r="H1465" s="165"/>
      <c r="I1465" s="165"/>
      <c r="J1465" s="165"/>
      <c r="K1465" s="165"/>
      <c r="L1465" s="165"/>
      <c r="M1465" s="165"/>
      <c r="N1465" s="165"/>
      <c r="O1465" s="166"/>
    </row>
    <row r="1466" ht="1.5" customHeight="1">
      <c r="A1466" s="155"/>
      <c r="B1466" s="156"/>
      <c r="C1466" s="157"/>
      <c r="D1466" s="158"/>
      <c r="E1466" s="159"/>
      <c r="F1466" s="159"/>
      <c r="G1466" s="159"/>
      <c r="H1466" s="159"/>
      <c r="I1466" s="159"/>
      <c r="J1466" s="159"/>
      <c r="K1466" s="159"/>
      <c r="L1466" s="159"/>
      <c r="M1466" s="159"/>
      <c r="N1466" s="159"/>
      <c r="O1466" s="160"/>
    </row>
    <row r="1467" ht="1.5" customHeight="1">
      <c r="A1467" s="161"/>
      <c r="B1467" s="162"/>
      <c r="C1467" s="163"/>
      <c r="D1467" s="164"/>
      <c r="E1467" s="165"/>
      <c r="F1467" s="165"/>
      <c r="G1467" s="165"/>
      <c r="H1467" s="165"/>
      <c r="I1467" s="165"/>
      <c r="J1467" s="165"/>
      <c r="K1467" s="165"/>
      <c r="L1467" s="165"/>
      <c r="M1467" s="165"/>
      <c r="N1467" s="165"/>
      <c r="O1467" s="166"/>
    </row>
    <row r="1468" ht="1.5" customHeight="1">
      <c r="A1468" s="155"/>
      <c r="B1468" s="156"/>
      <c r="C1468" s="157"/>
      <c r="D1468" s="158"/>
      <c r="E1468" s="159"/>
      <c r="F1468" s="159"/>
      <c r="G1468" s="159"/>
      <c r="H1468" s="159"/>
      <c r="I1468" s="159"/>
      <c r="J1468" s="159"/>
      <c r="K1468" s="159"/>
      <c r="L1468" s="159"/>
      <c r="M1468" s="159"/>
      <c r="N1468" s="159"/>
      <c r="O1468" s="160"/>
    </row>
    <row r="1469" ht="1.5" customHeight="1">
      <c r="A1469" s="161"/>
      <c r="B1469" s="162"/>
      <c r="C1469" s="163"/>
      <c r="D1469" s="164"/>
      <c r="E1469" s="165"/>
      <c r="F1469" s="165"/>
      <c r="G1469" s="165"/>
      <c r="H1469" s="165"/>
      <c r="I1469" s="165"/>
      <c r="J1469" s="165"/>
      <c r="K1469" s="165"/>
      <c r="L1469" s="165"/>
      <c r="M1469" s="165"/>
      <c r="N1469" s="165"/>
      <c r="O1469" s="166"/>
    </row>
    <row r="1470" ht="1.5" customHeight="1">
      <c r="A1470" s="155"/>
      <c r="B1470" s="156"/>
      <c r="C1470" s="157"/>
      <c r="D1470" s="158"/>
      <c r="E1470" s="159"/>
      <c r="F1470" s="159"/>
      <c r="G1470" s="159"/>
      <c r="H1470" s="159"/>
      <c r="I1470" s="159"/>
      <c r="J1470" s="159"/>
      <c r="K1470" s="159"/>
      <c r="L1470" s="159"/>
      <c r="M1470" s="159"/>
      <c r="N1470" s="159"/>
      <c r="O1470" s="160"/>
    </row>
    <row r="1471" ht="1.5" customHeight="1">
      <c r="A1471" s="161"/>
      <c r="B1471" s="162"/>
      <c r="C1471" s="163"/>
      <c r="D1471" s="164"/>
      <c r="E1471" s="165"/>
      <c r="F1471" s="165"/>
      <c r="G1471" s="165"/>
      <c r="H1471" s="165"/>
      <c r="I1471" s="165"/>
      <c r="J1471" s="165"/>
      <c r="K1471" s="165"/>
      <c r="L1471" s="165"/>
      <c r="M1471" s="165"/>
      <c r="N1471" s="165"/>
      <c r="O1471" s="166"/>
    </row>
    <row r="1472" ht="1.5" customHeight="1">
      <c r="A1472" s="155"/>
      <c r="B1472" s="156"/>
      <c r="C1472" s="157"/>
      <c r="D1472" s="158"/>
      <c r="E1472" s="159"/>
      <c r="F1472" s="159"/>
      <c r="G1472" s="159"/>
      <c r="H1472" s="159"/>
      <c r="I1472" s="159"/>
      <c r="J1472" s="159"/>
      <c r="K1472" s="159"/>
      <c r="L1472" s="159"/>
      <c r="M1472" s="159"/>
      <c r="N1472" s="159"/>
      <c r="O1472" s="160"/>
    </row>
    <row r="1473" ht="1.5" customHeight="1">
      <c r="A1473" s="161"/>
      <c r="B1473" s="162"/>
      <c r="C1473" s="163"/>
      <c r="D1473" s="164"/>
      <c r="E1473" s="165"/>
      <c r="F1473" s="165"/>
      <c r="G1473" s="165"/>
      <c r="H1473" s="165"/>
      <c r="I1473" s="165"/>
      <c r="J1473" s="165"/>
      <c r="K1473" s="165"/>
      <c r="L1473" s="165"/>
      <c r="M1473" s="165"/>
      <c r="N1473" s="165"/>
      <c r="O1473" s="166"/>
    </row>
    <row r="1474" ht="1.5" customHeight="1">
      <c r="A1474" s="155"/>
      <c r="B1474" s="156"/>
      <c r="C1474" s="157"/>
      <c r="D1474" s="158"/>
      <c r="E1474" s="159"/>
      <c r="F1474" s="159"/>
      <c r="G1474" s="159"/>
      <c r="H1474" s="159"/>
      <c r="I1474" s="159"/>
      <c r="J1474" s="159"/>
      <c r="K1474" s="159"/>
      <c r="L1474" s="159"/>
      <c r="M1474" s="159"/>
      <c r="N1474" s="159"/>
      <c r="O1474" s="160"/>
    </row>
    <row r="1475" ht="1.5" customHeight="1">
      <c r="A1475" s="161"/>
      <c r="B1475" s="162"/>
      <c r="C1475" s="163"/>
      <c r="D1475" s="164"/>
      <c r="E1475" s="165"/>
      <c r="F1475" s="165"/>
      <c r="G1475" s="165"/>
      <c r="H1475" s="165"/>
      <c r="I1475" s="165"/>
      <c r="J1475" s="165"/>
      <c r="K1475" s="165"/>
      <c r="L1475" s="165"/>
      <c r="M1475" s="165"/>
      <c r="N1475" s="165"/>
      <c r="O1475" s="166"/>
    </row>
    <row r="1476" ht="1.5" customHeight="1">
      <c r="A1476" s="155"/>
      <c r="B1476" s="156"/>
      <c r="C1476" s="157"/>
      <c r="D1476" s="158"/>
      <c r="E1476" s="159"/>
      <c r="F1476" s="159"/>
      <c r="G1476" s="159"/>
      <c r="H1476" s="159"/>
      <c r="I1476" s="159"/>
      <c r="J1476" s="159"/>
      <c r="K1476" s="159"/>
      <c r="L1476" s="159"/>
      <c r="M1476" s="159"/>
      <c r="N1476" s="159"/>
      <c r="O1476" s="160"/>
    </row>
    <row r="1477" ht="1.5" customHeight="1">
      <c r="A1477" s="161"/>
      <c r="B1477" s="162"/>
      <c r="C1477" s="163"/>
      <c r="D1477" s="164"/>
      <c r="E1477" s="165"/>
      <c r="F1477" s="165"/>
      <c r="G1477" s="165"/>
      <c r="H1477" s="165"/>
      <c r="I1477" s="165"/>
      <c r="J1477" s="165"/>
      <c r="K1477" s="165"/>
      <c r="L1477" s="165"/>
      <c r="M1477" s="165"/>
      <c r="N1477" s="165"/>
      <c r="O1477" s="166"/>
    </row>
    <row r="1478" ht="1.5" customHeight="1">
      <c r="A1478" s="155"/>
      <c r="B1478" s="156"/>
      <c r="C1478" s="157"/>
      <c r="D1478" s="158"/>
      <c r="E1478" s="159"/>
      <c r="F1478" s="159"/>
      <c r="G1478" s="159"/>
      <c r="H1478" s="159"/>
      <c r="I1478" s="159"/>
      <c r="J1478" s="159"/>
      <c r="K1478" s="159"/>
      <c r="L1478" s="159"/>
      <c r="M1478" s="159"/>
      <c r="N1478" s="159"/>
      <c r="O1478" s="160"/>
    </row>
    <row r="1479" ht="1.5" customHeight="1">
      <c r="A1479" s="161"/>
      <c r="B1479" s="162"/>
      <c r="C1479" s="163"/>
      <c r="D1479" s="164"/>
      <c r="E1479" s="165"/>
      <c r="F1479" s="165"/>
      <c r="G1479" s="165"/>
      <c r="H1479" s="165"/>
      <c r="I1479" s="165"/>
      <c r="J1479" s="165"/>
      <c r="K1479" s="165"/>
      <c r="L1479" s="165"/>
      <c r="M1479" s="165"/>
      <c r="N1479" s="165"/>
      <c r="O1479" s="166"/>
    </row>
    <row r="1480" ht="1.5" customHeight="1">
      <c r="A1480" s="155"/>
      <c r="B1480" s="156"/>
      <c r="C1480" s="157"/>
      <c r="D1480" s="158"/>
      <c r="E1480" s="159"/>
      <c r="F1480" s="159"/>
      <c r="G1480" s="159"/>
      <c r="H1480" s="159"/>
      <c r="I1480" s="159"/>
      <c r="J1480" s="159"/>
      <c r="K1480" s="159"/>
      <c r="L1480" s="159"/>
      <c r="M1480" s="159"/>
      <c r="N1480" s="159"/>
      <c r="O1480" s="160"/>
    </row>
    <row r="1481" ht="1.5" customHeight="1">
      <c r="A1481" s="161"/>
      <c r="B1481" s="162"/>
      <c r="C1481" s="163"/>
      <c r="D1481" s="164"/>
      <c r="E1481" s="165"/>
      <c r="F1481" s="165"/>
      <c r="G1481" s="165"/>
      <c r="H1481" s="165"/>
      <c r="I1481" s="165"/>
      <c r="J1481" s="165"/>
      <c r="K1481" s="165"/>
      <c r="L1481" s="165"/>
      <c r="M1481" s="165"/>
      <c r="N1481" s="165"/>
      <c r="O1481" s="166"/>
    </row>
    <row r="1482" ht="1.5" customHeight="1">
      <c r="A1482" s="155"/>
      <c r="B1482" s="156"/>
      <c r="C1482" s="157"/>
      <c r="D1482" s="158"/>
      <c r="E1482" s="159"/>
      <c r="F1482" s="159"/>
      <c r="G1482" s="159"/>
      <c r="H1482" s="159"/>
      <c r="I1482" s="159"/>
      <c r="J1482" s="159"/>
      <c r="K1482" s="159"/>
      <c r="L1482" s="159"/>
      <c r="M1482" s="159"/>
      <c r="N1482" s="159"/>
      <c r="O1482" s="160"/>
    </row>
    <row r="1483" ht="1.5" customHeight="1">
      <c r="A1483" s="161"/>
      <c r="B1483" s="162"/>
      <c r="C1483" s="163"/>
      <c r="D1483" s="164"/>
      <c r="E1483" s="165"/>
      <c r="F1483" s="165"/>
      <c r="G1483" s="165"/>
      <c r="H1483" s="165"/>
      <c r="I1483" s="165"/>
      <c r="J1483" s="165"/>
      <c r="K1483" s="165"/>
      <c r="L1483" s="165"/>
      <c r="M1483" s="165"/>
      <c r="N1483" s="165"/>
      <c r="O1483" s="166"/>
    </row>
    <row r="1484" ht="1.5" customHeight="1">
      <c r="A1484" s="155"/>
      <c r="B1484" s="156"/>
      <c r="C1484" s="157"/>
      <c r="D1484" s="158"/>
      <c r="E1484" s="159"/>
      <c r="F1484" s="159"/>
      <c r="G1484" s="159"/>
      <c r="H1484" s="159"/>
      <c r="I1484" s="159"/>
      <c r="J1484" s="159"/>
      <c r="K1484" s="159"/>
      <c r="L1484" s="159"/>
      <c r="M1484" s="159"/>
      <c r="N1484" s="159"/>
      <c r="O1484" s="160"/>
    </row>
    <row r="1485" ht="1.5" customHeight="1">
      <c r="A1485" s="161"/>
      <c r="B1485" s="162"/>
      <c r="C1485" s="163"/>
      <c r="D1485" s="164"/>
      <c r="E1485" s="165"/>
      <c r="F1485" s="165"/>
      <c r="G1485" s="165"/>
      <c r="H1485" s="165"/>
      <c r="I1485" s="165"/>
      <c r="J1485" s="165"/>
      <c r="K1485" s="165"/>
      <c r="L1485" s="165"/>
      <c r="M1485" s="165"/>
      <c r="N1485" s="165"/>
      <c r="O1485" s="166"/>
    </row>
    <row r="1486" ht="1.5" customHeight="1">
      <c r="A1486" s="155"/>
      <c r="B1486" s="156"/>
      <c r="C1486" s="157"/>
      <c r="D1486" s="158"/>
      <c r="E1486" s="159"/>
      <c r="F1486" s="159"/>
      <c r="G1486" s="159"/>
      <c r="H1486" s="159"/>
      <c r="I1486" s="159"/>
      <c r="J1486" s="159"/>
      <c r="K1486" s="159"/>
      <c r="L1486" s="159"/>
      <c r="M1486" s="159"/>
      <c r="N1486" s="159"/>
      <c r="O1486" s="160"/>
    </row>
    <row r="1487" ht="1.5" customHeight="1">
      <c r="A1487" s="161"/>
      <c r="B1487" s="162"/>
      <c r="C1487" s="163"/>
      <c r="D1487" s="164"/>
      <c r="E1487" s="165"/>
      <c r="F1487" s="165"/>
      <c r="G1487" s="165"/>
      <c r="H1487" s="165"/>
      <c r="I1487" s="165"/>
      <c r="J1487" s="165"/>
      <c r="K1487" s="165"/>
      <c r="L1487" s="165"/>
      <c r="M1487" s="165"/>
      <c r="N1487" s="165"/>
      <c r="O1487" s="166"/>
    </row>
    <row r="1488" ht="1.5" customHeight="1">
      <c r="A1488" s="155"/>
      <c r="B1488" s="156"/>
      <c r="C1488" s="157"/>
      <c r="D1488" s="158"/>
      <c r="E1488" s="159"/>
      <c r="F1488" s="159"/>
      <c r="G1488" s="159"/>
      <c r="H1488" s="159"/>
      <c r="I1488" s="159"/>
      <c r="J1488" s="159"/>
      <c r="K1488" s="159"/>
      <c r="L1488" s="159"/>
      <c r="M1488" s="159"/>
      <c r="N1488" s="159"/>
      <c r="O1488" s="160"/>
    </row>
    <row r="1489" ht="1.5" customHeight="1">
      <c r="A1489" s="161"/>
      <c r="B1489" s="162"/>
      <c r="C1489" s="163"/>
      <c r="D1489" s="164"/>
      <c r="E1489" s="165"/>
      <c r="F1489" s="165"/>
      <c r="G1489" s="165"/>
      <c r="H1489" s="165"/>
      <c r="I1489" s="165"/>
      <c r="J1489" s="165"/>
      <c r="K1489" s="165"/>
      <c r="L1489" s="165"/>
      <c r="M1489" s="165"/>
      <c r="N1489" s="165"/>
      <c r="O1489" s="166"/>
    </row>
    <row r="1490" ht="1.5" customHeight="1">
      <c r="A1490" s="155"/>
      <c r="B1490" s="156"/>
      <c r="C1490" s="157"/>
      <c r="D1490" s="158"/>
      <c r="E1490" s="159"/>
      <c r="F1490" s="159"/>
      <c r="G1490" s="159"/>
      <c r="H1490" s="159"/>
      <c r="I1490" s="159"/>
      <c r="J1490" s="159"/>
      <c r="K1490" s="159"/>
      <c r="L1490" s="159"/>
      <c r="M1490" s="159"/>
      <c r="N1490" s="159"/>
      <c r="O1490" s="160"/>
    </row>
    <row r="1491" ht="1.5" customHeight="1">
      <c r="A1491" s="161"/>
      <c r="B1491" s="162"/>
      <c r="C1491" s="163"/>
      <c r="D1491" s="164"/>
      <c r="E1491" s="165"/>
      <c r="F1491" s="165"/>
      <c r="G1491" s="165"/>
      <c r="H1491" s="165"/>
      <c r="I1491" s="165"/>
      <c r="J1491" s="165"/>
      <c r="K1491" s="165"/>
      <c r="L1491" s="165"/>
      <c r="M1491" s="165"/>
      <c r="N1491" s="165"/>
      <c r="O1491" s="166"/>
    </row>
    <row r="1492" ht="1.5" customHeight="1">
      <c r="A1492" s="155"/>
      <c r="B1492" s="156"/>
      <c r="C1492" s="157"/>
      <c r="D1492" s="158"/>
      <c r="E1492" s="159"/>
      <c r="F1492" s="159"/>
      <c r="G1492" s="159"/>
      <c r="H1492" s="159"/>
      <c r="I1492" s="159"/>
      <c r="J1492" s="159"/>
      <c r="K1492" s="159"/>
      <c r="L1492" s="159"/>
      <c r="M1492" s="159"/>
      <c r="N1492" s="159"/>
      <c r="O1492" s="160"/>
    </row>
    <row r="1493" ht="1.5" customHeight="1">
      <c r="A1493" s="161"/>
      <c r="B1493" s="162"/>
      <c r="C1493" s="163"/>
      <c r="D1493" s="164"/>
      <c r="E1493" s="165"/>
      <c r="F1493" s="165"/>
      <c r="G1493" s="165"/>
      <c r="H1493" s="165"/>
      <c r="I1493" s="165"/>
      <c r="J1493" s="165"/>
      <c r="K1493" s="165"/>
      <c r="L1493" s="165"/>
      <c r="M1493" s="165"/>
      <c r="N1493" s="165"/>
      <c r="O1493" s="166"/>
    </row>
    <row r="1494" ht="1.5" customHeight="1">
      <c r="A1494" s="155"/>
      <c r="B1494" s="156"/>
      <c r="C1494" s="157"/>
      <c r="D1494" s="158"/>
      <c r="E1494" s="159"/>
      <c r="F1494" s="159"/>
      <c r="G1494" s="159"/>
      <c r="H1494" s="159"/>
      <c r="I1494" s="159"/>
      <c r="J1494" s="159"/>
      <c r="K1494" s="159"/>
      <c r="L1494" s="159"/>
      <c r="M1494" s="159"/>
      <c r="N1494" s="159"/>
      <c r="O1494" s="160"/>
    </row>
    <row r="1495" ht="1.5" customHeight="1">
      <c r="A1495" s="161"/>
      <c r="B1495" s="162"/>
      <c r="C1495" s="163"/>
      <c r="D1495" s="164"/>
      <c r="E1495" s="165"/>
      <c r="F1495" s="165"/>
      <c r="G1495" s="165"/>
      <c r="H1495" s="165"/>
      <c r="I1495" s="165"/>
      <c r="J1495" s="165"/>
      <c r="K1495" s="165"/>
      <c r="L1495" s="165"/>
      <c r="M1495" s="165"/>
      <c r="N1495" s="165"/>
      <c r="O1495" s="166"/>
    </row>
    <row r="1496" ht="1.5" customHeight="1">
      <c r="A1496" s="155"/>
      <c r="B1496" s="156"/>
      <c r="C1496" s="157"/>
      <c r="D1496" s="158"/>
      <c r="E1496" s="159"/>
      <c r="F1496" s="159"/>
      <c r="G1496" s="159"/>
      <c r="H1496" s="159"/>
      <c r="I1496" s="159"/>
      <c r="J1496" s="159"/>
      <c r="K1496" s="159"/>
      <c r="L1496" s="159"/>
      <c r="M1496" s="159"/>
      <c r="N1496" s="159"/>
      <c r="O1496" s="160"/>
    </row>
    <row r="1497" ht="1.5" customHeight="1">
      <c r="A1497" s="161"/>
      <c r="B1497" s="162"/>
      <c r="C1497" s="163"/>
      <c r="D1497" s="164"/>
      <c r="E1497" s="165"/>
      <c r="F1497" s="165"/>
      <c r="G1497" s="165"/>
      <c r="H1497" s="165"/>
      <c r="I1497" s="165"/>
      <c r="J1497" s="165"/>
      <c r="K1497" s="165"/>
      <c r="L1497" s="165"/>
      <c r="M1497" s="165"/>
      <c r="N1497" s="165"/>
      <c r="O1497" s="166"/>
    </row>
    <row r="1498" ht="1.5" customHeight="1">
      <c r="A1498" s="155"/>
      <c r="B1498" s="156"/>
      <c r="C1498" s="157"/>
      <c r="D1498" s="158"/>
      <c r="E1498" s="159"/>
      <c r="F1498" s="159"/>
      <c r="G1498" s="159"/>
      <c r="H1498" s="159"/>
      <c r="I1498" s="159"/>
      <c r="J1498" s="159"/>
      <c r="K1498" s="159"/>
      <c r="L1498" s="159"/>
      <c r="M1498" s="159"/>
      <c r="N1498" s="159"/>
      <c r="O1498" s="160"/>
    </row>
    <row r="1499" ht="1.5" customHeight="1">
      <c r="A1499" s="161"/>
      <c r="B1499" s="162"/>
      <c r="C1499" s="163"/>
      <c r="D1499" s="164"/>
      <c r="E1499" s="165"/>
      <c r="F1499" s="165"/>
      <c r="G1499" s="165"/>
      <c r="H1499" s="165"/>
      <c r="I1499" s="165"/>
      <c r="J1499" s="165"/>
      <c r="K1499" s="165"/>
      <c r="L1499" s="165"/>
      <c r="M1499" s="165"/>
      <c r="N1499" s="165"/>
      <c r="O1499" s="166"/>
    </row>
    <row r="1500" ht="1.5" customHeight="1">
      <c r="A1500" s="155"/>
      <c r="B1500" s="156"/>
      <c r="C1500" s="157"/>
      <c r="D1500" s="158"/>
      <c r="E1500" s="159"/>
      <c r="F1500" s="159"/>
      <c r="G1500" s="159"/>
      <c r="H1500" s="159"/>
      <c r="I1500" s="159"/>
      <c r="J1500" s="159"/>
      <c r="K1500" s="159"/>
      <c r="L1500" s="159"/>
      <c r="M1500" s="159"/>
      <c r="N1500" s="159"/>
      <c r="O1500" s="160"/>
    </row>
    <row r="1501" ht="1.5" customHeight="1">
      <c r="A1501" s="161"/>
      <c r="B1501" s="162"/>
      <c r="C1501" s="163"/>
      <c r="D1501" s="164"/>
      <c r="E1501" s="165"/>
      <c r="F1501" s="165"/>
      <c r="G1501" s="165"/>
      <c r="H1501" s="165"/>
      <c r="I1501" s="165"/>
      <c r="J1501" s="165"/>
      <c r="K1501" s="165"/>
      <c r="L1501" s="165"/>
      <c r="M1501" s="165"/>
      <c r="N1501" s="165"/>
      <c r="O1501" s="166"/>
    </row>
    <row r="1502" ht="1.5" customHeight="1">
      <c r="A1502" s="155"/>
      <c r="B1502" s="156"/>
      <c r="C1502" s="157"/>
      <c r="D1502" s="158"/>
      <c r="E1502" s="159"/>
      <c r="F1502" s="159"/>
      <c r="G1502" s="159"/>
      <c r="H1502" s="159"/>
      <c r="I1502" s="159"/>
      <c r="J1502" s="159"/>
      <c r="K1502" s="159"/>
      <c r="L1502" s="159"/>
      <c r="M1502" s="159"/>
      <c r="N1502" s="159"/>
      <c r="O1502" s="160"/>
    </row>
    <row r="1503" ht="1.5" customHeight="1">
      <c r="A1503" s="161"/>
      <c r="B1503" s="162"/>
      <c r="C1503" s="163"/>
      <c r="D1503" s="164"/>
      <c r="E1503" s="165"/>
      <c r="F1503" s="165"/>
      <c r="G1503" s="165"/>
      <c r="H1503" s="165"/>
      <c r="I1503" s="165"/>
      <c r="J1503" s="165"/>
      <c r="K1503" s="165"/>
      <c r="L1503" s="165"/>
      <c r="M1503" s="165"/>
      <c r="N1503" s="165"/>
      <c r="O1503" s="166"/>
    </row>
    <row r="1504" ht="1.5" customHeight="1">
      <c r="A1504" s="155"/>
      <c r="B1504" s="156"/>
      <c r="C1504" s="157"/>
      <c r="D1504" s="158"/>
      <c r="E1504" s="159"/>
      <c r="F1504" s="159"/>
      <c r="G1504" s="159"/>
      <c r="H1504" s="159"/>
      <c r="I1504" s="159"/>
      <c r="J1504" s="159"/>
      <c r="K1504" s="159"/>
      <c r="L1504" s="159"/>
      <c r="M1504" s="159"/>
      <c r="N1504" s="159"/>
      <c r="O1504" s="160"/>
    </row>
    <row r="1505" ht="1.5" customHeight="1">
      <c r="A1505" s="161"/>
      <c r="B1505" s="162"/>
      <c r="C1505" s="163"/>
      <c r="D1505" s="164"/>
      <c r="E1505" s="165"/>
      <c r="F1505" s="165"/>
      <c r="G1505" s="165"/>
      <c r="H1505" s="165"/>
      <c r="I1505" s="165"/>
      <c r="J1505" s="165"/>
      <c r="K1505" s="165"/>
      <c r="L1505" s="165"/>
      <c r="M1505" s="165"/>
      <c r="N1505" s="165"/>
      <c r="O1505" s="166"/>
    </row>
    <row r="1506" ht="1.5" customHeight="1">
      <c r="A1506" s="155"/>
      <c r="B1506" s="156"/>
      <c r="C1506" s="157"/>
      <c r="D1506" s="158"/>
      <c r="E1506" s="159"/>
      <c r="F1506" s="159"/>
      <c r="G1506" s="159"/>
      <c r="H1506" s="159"/>
      <c r="I1506" s="159"/>
      <c r="J1506" s="159"/>
      <c r="K1506" s="159"/>
      <c r="L1506" s="159"/>
      <c r="M1506" s="159"/>
      <c r="N1506" s="159"/>
      <c r="O1506" s="160"/>
    </row>
    <row r="1507" ht="1.5" customHeight="1">
      <c r="A1507" s="161"/>
      <c r="B1507" s="162"/>
      <c r="C1507" s="163"/>
      <c r="D1507" s="164"/>
      <c r="E1507" s="165"/>
      <c r="F1507" s="165"/>
      <c r="G1507" s="165"/>
      <c r="H1507" s="165"/>
      <c r="I1507" s="165"/>
      <c r="J1507" s="165"/>
      <c r="K1507" s="165"/>
      <c r="L1507" s="165"/>
      <c r="M1507" s="165"/>
      <c r="N1507" s="165"/>
      <c r="O1507" s="166"/>
    </row>
    <row r="1508" ht="1.5" customHeight="1">
      <c r="A1508" s="155"/>
      <c r="B1508" s="156"/>
      <c r="C1508" s="157"/>
      <c r="D1508" s="158"/>
      <c r="E1508" s="159"/>
      <c r="F1508" s="159"/>
      <c r="G1508" s="159"/>
      <c r="H1508" s="159"/>
      <c r="I1508" s="159"/>
      <c r="J1508" s="159"/>
      <c r="K1508" s="159"/>
      <c r="L1508" s="159"/>
      <c r="M1508" s="159"/>
      <c r="N1508" s="159"/>
      <c r="O1508" s="160"/>
    </row>
    <row r="1509" ht="1.5" customHeight="1">
      <c r="A1509" s="161"/>
      <c r="B1509" s="162"/>
      <c r="C1509" s="163"/>
      <c r="D1509" s="164"/>
      <c r="E1509" s="165"/>
      <c r="F1509" s="165"/>
      <c r="G1509" s="165"/>
      <c r="H1509" s="165"/>
      <c r="I1509" s="165"/>
      <c r="J1509" s="165"/>
      <c r="K1509" s="165"/>
      <c r="L1509" s="165"/>
      <c r="M1509" s="165"/>
      <c r="N1509" s="165"/>
      <c r="O1509" s="166"/>
    </row>
    <row r="1510" ht="1.5" customHeight="1">
      <c r="A1510" s="155"/>
      <c r="B1510" s="156"/>
      <c r="C1510" s="157"/>
      <c r="D1510" s="158"/>
      <c r="E1510" s="159"/>
      <c r="F1510" s="159"/>
      <c r="G1510" s="159"/>
      <c r="H1510" s="159"/>
      <c r="I1510" s="159"/>
      <c r="J1510" s="159"/>
      <c r="K1510" s="159"/>
      <c r="L1510" s="159"/>
      <c r="M1510" s="159"/>
      <c r="N1510" s="159"/>
      <c r="O1510" s="160"/>
    </row>
    <row r="1511" ht="1.5" customHeight="1">
      <c r="A1511" s="161"/>
      <c r="B1511" s="162"/>
      <c r="C1511" s="163"/>
      <c r="D1511" s="164"/>
      <c r="E1511" s="165"/>
      <c r="F1511" s="165"/>
      <c r="G1511" s="165"/>
      <c r="H1511" s="165"/>
      <c r="I1511" s="165"/>
      <c r="J1511" s="165"/>
      <c r="K1511" s="165"/>
      <c r="L1511" s="165"/>
      <c r="M1511" s="165"/>
      <c r="N1511" s="165"/>
      <c r="O1511" s="166"/>
    </row>
    <row r="1512" ht="1.5" customHeight="1">
      <c r="A1512" s="155"/>
      <c r="B1512" s="156"/>
      <c r="C1512" s="157"/>
      <c r="D1512" s="158"/>
      <c r="E1512" s="159"/>
      <c r="F1512" s="159"/>
      <c r="G1512" s="159"/>
      <c r="H1512" s="159"/>
      <c r="I1512" s="159"/>
      <c r="J1512" s="159"/>
      <c r="K1512" s="159"/>
      <c r="L1512" s="159"/>
      <c r="M1512" s="159"/>
      <c r="N1512" s="159"/>
      <c r="O1512" s="160"/>
    </row>
    <row r="1513" ht="1.5" customHeight="1">
      <c r="A1513" s="161"/>
      <c r="B1513" s="162"/>
      <c r="C1513" s="163"/>
      <c r="D1513" s="164"/>
      <c r="E1513" s="165"/>
      <c r="F1513" s="165"/>
      <c r="G1513" s="165"/>
      <c r="H1513" s="165"/>
      <c r="I1513" s="165"/>
      <c r="J1513" s="165"/>
      <c r="K1513" s="165"/>
      <c r="L1513" s="165"/>
      <c r="M1513" s="165"/>
      <c r="N1513" s="165"/>
      <c r="O1513" s="166"/>
    </row>
    <row r="1514" ht="1.5" customHeight="1">
      <c r="A1514" s="155"/>
      <c r="B1514" s="156"/>
      <c r="C1514" s="157"/>
      <c r="D1514" s="158"/>
      <c r="E1514" s="159"/>
      <c r="F1514" s="159"/>
      <c r="G1514" s="159"/>
      <c r="H1514" s="159"/>
      <c r="I1514" s="159"/>
      <c r="J1514" s="159"/>
      <c r="K1514" s="159"/>
      <c r="L1514" s="159"/>
      <c r="M1514" s="159"/>
      <c r="N1514" s="159"/>
      <c r="O1514" s="160"/>
    </row>
    <row r="1515" ht="1.5" customHeight="1">
      <c r="A1515" s="161"/>
      <c r="B1515" s="162"/>
      <c r="C1515" s="163"/>
      <c r="D1515" s="164"/>
      <c r="E1515" s="165"/>
      <c r="F1515" s="165"/>
      <c r="G1515" s="165"/>
      <c r="H1515" s="165"/>
      <c r="I1515" s="165"/>
      <c r="J1515" s="165"/>
      <c r="K1515" s="165"/>
      <c r="L1515" s="165"/>
      <c r="M1515" s="165"/>
      <c r="N1515" s="165"/>
      <c r="O1515" s="166"/>
    </row>
    <row r="1516" ht="1.5" customHeight="1">
      <c r="A1516" s="155"/>
      <c r="B1516" s="156"/>
      <c r="C1516" s="157"/>
      <c r="D1516" s="158"/>
      <c r="E1516" s="159"/>
      <c r="F1516" s="159"/>
      <c r="G1516" s="159"/>
      <c r="H1516" s="159"/>
      <c r="I1516" s="159"/>
      <c r="J1516" s="159"/>
      <c r="K1516" s="159"/>
      <c r="L1516" s="159"/>
      <c r="M1516" s="159"/>
      <c r="N1516" s="159"/>
      <c r="O1516" s="160"/>
    </row>
    <row r="1517" ht="1.5" customHeight="1">
      <c r="A1517" s="161"/>
      <c r="B1517" s="162"/>
      <c r="C1517" s="163"/>
      <c r="D1517" s="164"/>
      <c r="E1517" s="165"/>
      <c r="F1517" s="165"/>
      <c r="G1517" s="165"/>
      <c r="H1517" s="165"/>
      <c r="I1517" s="165"/>
      <c r="J1517" s="165"/>
      <c r="K1517" s="165"/>
      <c r="L1517" s="165"/>
      <c r="M1517" s="165"/>
      <c r="N1517" s="165"/>
      <c r="O1517" s="166"/>
    </row>
    <row r="1518" ht="1.5" customHeight="1">
      <c r="A1518" s="155"/>
      <c r="B1518" s="156"/>
      <c r="C1518" s="157"/>
      <c r="D1518" s="158"/>
      <c r="E1518" s="159"/>
      <c r="F1518" s="159"/>
      <c r="G1518" s="159"/>
      <c r="H1518" s="159"/>
      <c r="I1518" s="159"/>
      <c r="J1518" s="159"/>
      <c r="K1518" s="159"/>
      <c r="L1518" s="159"/>
      <c r="M1518" s="159"/>
      <c r="N1518" s="159"/>
      <c r="O1518" s="160"/>
    </row>
    <row r="1519" ht="1.5" customHeight="1">
      <c r="A1519" s="161"/>
      <c r="B1519" s="162"/>
      <c r="C1519" s="163"/>
      <c r="D1519" s="164"/>
      <c r="E1519" s="165"/>
      <c r="F1519" s="165"/>
      <c r="G1519" s="165"/>
      <c r="H1519" s="165"/>
      <c r="I1519" s="165"/>
      <c r="J1519" s="165"/>
      <c r="K1519" s="165"/>
      <c r="L1519" s="165"/>
      <c r="M1519" s="165"/>
      <c r="N1519" s="165"/>
      <c r="O1519" s="166"/>
    </row>
    <row r="1520" ht="1.5" customHeight="1">
      <c r="A1520" s="155"/>
      <c r="B1520" s="156"/>
      <c r="C1520" s="157"/>
      <c r="D1520" s="158"/>
      <c r="E1520" s="159"/>
      <c r="F1520" s="159"/>
      <c r="G1520" s="159"/>
      <c r="H1520" s="159"/>
      <c r="I1520" s="159"/>
      <c r="J1520" s="159"/>
      <c r="K1520" s="159"/>
      <c r="L1520" s="159"/>
      <c r="M1520" s="159"/>
      <c r="N1520" s="159"/>
      <c r="O1520" s="160"/>
    </row>
    <row r="1521" ht="1.5" customHeight="1">
      <c r="A1521" s="161"/>
      <c r="B1521" s="162"/>
      <c r="C1521" s="163"/>
      <c r="D1521" s="164"/>
      <c r="E1521" s="165"/>
      <c r="F1521" s="165"/>
      <c r="G1521" s="165"/>
      <c r="H1521" s="165"/>
      <c r="I1521" s="165"/>
      <c r="J1521" s="165"/>
      <c r="K1521" s="165"/>
      <c r="L1521" s="165"/>
      <c r="M1521" s="165"/>
      <c r="N1521" s="165"/>
      <c r="O1521" s="166"/>
    </row>
    <row r="1522" ht="1.5" customHeight="1">
      <c r="A1522" s="155"/>
      <c r="B1522" s="156"/>
      <c r="C1522" s="157"/>
      <c r="D1522" s="158"/>
      <c r="E1522" s="159"/>
      <c r="F1522" s="159"/>
      <c r="G1522" s="159"/>
      <c r="H1522" s="159"/>
      <c r="I1522" s="159"/>
      <c r="J1522" s="159"/>
      <c r="K1522" s="159"/>
      <c r="L1522" s="159"/>
      <c r="M1522" s="159"/>
      <c r="N1522" s="159"/>
      <c r="O1522" s="160"/>
    </row>
    <row r="1523" ht="1.5" customHeight="1">
      <c r="A1523" s="161"/>
      <c r="B1523" s="162"/>
      <c r="C1523" s="163"/>
      <c r="D1523" s="164"/>
      <c r="E1523" s="165"/>
      <c r="F1523" s="165"/>
      <c r="G1523" s="165"/>
      <c r="H1523" s="165"/>
      <c r="I1523" s="165"/>
      <c r="J1523" s="165"/>
      <c r="K1523" s="165"/>
      <c r="L1523" s="165"/>
      <c r="M1523" s="165"/>
      <c r="N1523" s="165"/>
      <c r="O1523" s="166"/>
    </row>
    <row r="1524" ht="1.5" customHeight="1">
      <c r="A1524" s="155"/>
      <c r="B1524" s="156"/>
      <c r="C1524" s="157"/>
      <c r="D1524" s="158"/>
      <c r="E1524" s="159"/>
      <c r="F1524" s="159"/>
      <c r="G1524" s="159"/>
      <c r="H1524" s="159"/>
      <c r="I1524" s="159"/>
      <c r="J1524" s="159"/>
      <c r="K1524" s="159"/>
      <c r="L1524" s="159"/>
      <c r="M1524" s="159"/>
      <c r="N1524" s="159"/>
      <c r="O1524" s="160"/>
    </row>
    <row r="1525" ht="1.5" customHeight="1">
      <c r="A1525" s="161"/>
      <c r="B1525" s="162"/>
      <c r="C1525" s="163"/>
      <c r="D1525" s="164"/>
      <c r="E1525" s="165"/>
      <c r="F1525" s="165"/>
      <c r="G1525" s="165"/>
      <c r="H1525" s="165"/>
      <c r="I1525" s="165"/>
      <c r="J1525" s="165"/>
      <c r="K1525" s="165"/>
      <c r="L1525" s="165"/>
      <c r="M1525" s="165"/>
      <c r="N1525" s="165"/>
      <c r="O1525" s="166"/>
    </row>
    <row r="1526" ht="1.5" customHeight="1">
      <c r="A1526" s="155"/>
      <c r="B1526" s="156"/>
      <c r="C1526" s="157"/>
      <c r="D1526" s="158"/>
      <c r="E1526" s="159"/>
      <c r="F1526" s="159"/>
      <c r="G1526" s="159"/>
      <c r="H1526" s="159"/>
      <c r="I1526" s="159"/>
      <c r="J1526" s="159"/>
      <c r="K1526" s="159"/>
      <c r="L1526" s="159"/>
      <c r="M1526" s="159"/>
      <c r="N1526" s="159"/>
      <c r="O1526" s="160"/>
    </row>
    <row r="1527" ht="1.5" customHeight="1">
      <c r="A1527" s="161"/>
      <c r="B1527" s="162"/>
      <c r="C1527" s="163"/>
      <c r="D1527" s="164"/>
      <c r="E1527" s="165"/>
      <c r="F1527" s="165"/>
      <c r="G1527" s="165"/>
      <c r="H1527" s="165"/>
      <c r="I1527" s="165"/>
      <c r="J1527" s="165"/>
      <c r="K1527" s="165"/>
      <c r="L1527" s="165"/>
      <c r="M1527" s="165"/>
      <c r="N1527" s="165"/>
      <c r="O1527" s="166"/>
    </row>
    <row r="1528" ht="1.5" customHeight="1">
      <c r="A1528" s="155"/>
      <c r="B1528" s="156"/>
      <c r="C1528" s="157"/>
      <c r="D1528" s="158"/>
      <c r="E1528" s="159"/>
      <c r="F1528" s="159"/>
      <c r="G1528" s="159"/>
      <c r="H1528" s="159"/>
      <c r="I1528" s="159"/>
      <c r="J1528" s="159"/>
      <c r="K1528" s="159"/>
      <c r="L1528" s="159"/>
      <c r="M1528" s="159"/>
      <c r="N1528" s="159"/>
      <c r="O1528" s="160"/>
    </row>
    <row r="1529" ht="1.5" customHeight="1">
      <c r="A1529" s="161"/>
      <c r="B1529" s="162"/>
      <c r="C1529" s="163"/>
      <c r="D1529" s="164"/>
      <c r="E1529" s="165"/>
      <c r="F1529" s="165"/>
      <c r="G1529" s="165"/>
      <c r="H1529" s="165"/>
      <c r="I1529" s="165"/>
      <c r="J1529" s="165"/>
      <c r="K1529" s="165"/>
      <c r="L1529" s="165"/>
      <c r="M1529" s="165"/>
      <c r="N1529" s="165"/>
      <c r="O1529" s="166"/>
    </row>
    <row r="1530" ht="1.5" customHeight="1">
      <c r="A1530" s="155"/>
      <c r="B1530" s="156"/>
      <c r="C1530" s="157"/>
      <c r="D1530" s="158"/>
      <c r="E1530" s="159"/>
      <c r="F1530" s="159"/>
      <c r="G1530" s="159"/>
      <c r="H1530" s="159"/>
      <c r="I1530" s="159"/>
      <c r="J1530" s="159"/>
      <c r="K1530" s="159"/>
      <c r="L1530" s="159"/>
      <c r="M1530" s="159"/>
      <c r="N1530" s="159"/>
      <c r="O1530" s="160"/>
    </row>
    <row r="1531" ht="1.5" customHeight="1">
      <c r="A1531" s="161"/>
      <c r="B1531" s="162"/>
      <c r="C1531" s="163"/>
      <c r="D1531" s="164"/>
      <c r="E1531" s="165"/>
      <c r="F1531" s="165"/>
      <c r="G1531" s="165"/>
      <c r="H1531" s="165"/>
      <c r="I1531" s="165"/>
      <c r="J1531" s="165"/>
      <c r="K1531" s="165"/>
      <c r="L1531" s="165"/>
      <c r="M1531" s="165"/>
      <c r="N1531" s="165"/>
      <c r="O1531" s="166"/>
    </row>
    <row r="1532" ht="1.5" customHeight="1">
      <c r="A1532" s="155"/>
      <c r="B1532" s="156"/>
      <c r="C1532" s="157"/>
      <c r="D1532" s="158"/>
      <c r="E1532" s="159"/>
      <c r="F1532" s="159"/>
      <c r="G1532" s="159"/>
      <c r="H1532" s="159"/>
      <c r="I1532" s="159"/>
      <c r="J1532" s="159"/>
      <c r="K1532" s="159"/>
      <c r="L1532" s="159"/>
      <c r="M1532" s="159"/>
      <c r="N1532" s="159"/>
      <c r="O1532" s="160"/>
    </row>
    <row r="1533" ht="1.5" customHeight="1">
      <c r="A1533" s="161"/>
      <c r="B1533" s="162"/>
      <c r="C1533" s="163"/>
      <c r="D1533" s="164"/>
      <c r="E1533" s="165"/>
      <c r="F1533" s="165"/>
      <c r="G1533" s="165"/>
      <c r="H1533" s="165"/>
      <c r="I1533" s="165"/>
      <c r="J1533" s="165"/>
      <c r="K1533" s="165"/>
      <c r="L1533" s="165"/>
      <c r="M1533" s="165"/>
      <c r="N1533" s="165"/>
      <c r="O1533" s="166"/>
    </row>
    <row r="1534" ht="1.5" customHeight="1">
      <c r="A1534" s="155"/>
      <c r="B1534" s="156"/>
      <c r="C1534" s="157"/>
      <c r="D1534" s="158"/>
      <c r="E1534" s="159"/>
      <c r="F1534" s="159"/>
      <c r="G1534" s="159"/>
      <c r="H1534" s="159"/>
      <c r="I1534" s="159"/>
      <c r="J1534" s="159"/>
      <c r="K1534" s="159"/>
      <c r="L1534" s="159"/>
      <c r="M1534" s="159"/>
      <c r="N1534" s="159"/>
      <c r="O1534" s="160"/>
    </row>
    <row r="1535" ht="1.5" customHeight="1">
      <c r="A1535" s="161"/>
      <c r="B1535" s="162"/>
      <c r="C1535" s="163"/>
      <c r="D1535" s="164"/>
      <c r="E1535" s="165"/>
      <c r="F1535" s="165"/>
      <c r="G1535" s="165"/>
      <c r="H1535" s="165"/>
      <c r="I1535" s="165"/>
      <c r="J1535" s="165"/>
      <c r="K1535" s="165"/>
      <c r="L1535" s="165"/>
      <c r="M1535" s="165"/>
      <c r="N1535" s="165"/>
      <c r="O1535" s="166"/>
    </row>
    <row r="1536" ht="1.5" customHeight="1">
      <c r="A1536" s="155"/>
      <c r="B1536" s="156"/>
      <c r="C1536" s="157"/>
      <c r="D1536" s="158"/>
      <c r="E1536" s="159"/>
      <c r="F1536" s="159"/>
      <c r="G1536" s="159"/>
      <c r="H1536" s="159"/>
      <c r="I1536" s="159"/>
      <c r="J1536" s="159"/>
      <c r="K1536" s="159"/>
      <c r="L1536" s="159"/>
      <c r="M1536" s="159"/>
      <c r="N1536" s="159"/>
      <c r="O1536" s="160"/>
    </row>
    <row r="1537" ht="1.5" customHeight="1">
      <c r="A1537" s="161"/>
      <c r="B1537" s="162"/>
      <c r="C1537" s="163"/>
      <c r="D1537" s="164"/>
      <c r="E1537" s="165"/>
      <c r="F1537" s="165"/>
      <c r="G1537" s="165"/>
      <c r="H1537" s="165"/>
      <c r="I1537" s="165"/>
      <c r="J1537" s="165"/>
      <c r="K1537" s="165"/>
      <c r="L1537" s="165"/>
      <c r="M1537" s="165"/>
      <c r="N1537" s="165"/>
      <c r="O1537" s="166"/>
    </row>
    <row r="1538" ht="1.5" customHeight="1">
      <c r="A1538" s="155"/>
      <c r="B1538" s="156"/>
      <c r="C1538" s="157"/>
      <c r="D1538" s="158"/>
      <c r="E1538" s="159"/>
      <c r="F1538" s="159"/>
      <c r="G1538" s="159"/>
      <c r="H1538" s="159"/>
      <c r="I1538" s="159"/>
      <c r="J1538" s="159"/>
      <c r="K1538" s="159"/>
      <c r="L1538" s="159"/>
      <c r="M1538" s="159"/>
      <c r="N1538" s="159"/>
      <c r="O1538" s="160"/>
    </row>
    <row r="1539" ht="1.5" customHeight="1">
      <c r="A1539" s="161"/>
      <c r="B1539" s="162"/>
      <c r="C1539" s="163"/>
      <c r="D1539" s="164"/>
      <c r="E1539" s="165"/>
      <c r="F1539" s="165"/>
      <c r="G1539" s="165"/>
      <c r="H1539" s="165"/>
      <c r="I1539" s="165"/>
      <c r="J1539" s="165"/>
      <c r="K1539" s="165"/>
      <c r="L1539" s="165"/>
      <c r="M1539" s="165"/>
      <c r="N1539" s="165"/>
      <c r="O1539" s="166"/>
    </row>
    <row r="1540" ht="1.5" customHeight="1">
      <c r="A1540" s="155"/>
      <c r="B1540" s="156"/>
      <c r="C1540" s="157"/>
      <c r="D1540" s="158"/>
      <c r="E1540" s="159"/>
      <c r="F1540" s="159"/>
      <c r="G1540" s="159"/>
      <c r="H1540" s="159"/>
      <c r="I1540" s="159"/>
      <c r="J1540" s="159"/>
      <c r="K1540" s="159"/>
      <c r="L1540" s="159"/>
      <c r="M1540" s="159"/>
      <c r="N1540" s="159"/>
      <c r="O1540" s="160"/>
    </row>
    <row r="1541" ht="1.5" customHeight="1">
      <c r="A1541" s="161"/>
      <c r="B1541" s="162"/>
      <c r="C1541" s="163"/>
      <c r="D1541" s="164"/>
      <c r="E1541" s="165"/>
      <c r="F1541" s="165"/>
      <c r="G1541" s="165"/>
      <c r="H1541" s="165"/>
      <c r="I1541" s="165"/>
      <c r="J1541" s="165"/>
      <c r="K1541" s="165"/>
      <c r="L1541" s="165"/>
      <c r="M1541" s="165"/>
      <c r="N1541" s="165"/>
      <c r="O1541" s="166"/>
    </row>
    <row r="1542" ht="1.5" customHeight="1">
      <c r="A1542" s="155"/>
      <c r="B1542" s="156"/>
      <c r="C1542" s="157"/>
      <c r="D1542" s="158"/>
      <c r="E1542" s="159"/>
      <c r="F1542" s="159"/>
      <c r="G1542" s="159"/>
      <c r="H1542" s="159"/>
      <c r="I1542" s="159"/>
      <c r="J1542" s="159"/>
      <c r="K1542" s="159"/>
      <c r="L1542" s="159"/>
      <c r="M1542" s="159"/>
      <c r="N1542" s="159"/>
      <c r="O1542" s="160"/>
    </row>
    <row r="1543" ht="1.5" customHeight="1">
      <c r="A1543" s="161"/>
      <c r="B1543" s="162"/>
      <c r="C1543" s="163"/>
      <c r="D1543" s="164"/>
      <c r="E1543" s="165"/>
      <c r="F1543" s="165"/>
      <c r="G1543" s="165"/>
      <c r="H1543" s="165"/>
      <c r="I1543" s="165"/>
      <c r="J1543" s="165"/>
      <c r="K1543" s="165"/>
      <c r="L1543" s="165"/>
      <c r="M1543" s="165"/>
      <c r="N1543" s="165"/>
      <c r="O1543" s="166"/>
    </row>
    <row r="1544" ht="1.5" customHeight="1">
      <c r="A1544" s="155"/>
      <c r="B1544" s="156"/>
      <c r="C1544" s="157"/>
      <c r="D1544" s="158"/>
      <c r="E1544" s="159"/>
      <c r="F1544" s="159"/>
      <c r="G1544" s="159"/>
      <c r="H1544" s="159"/>
      <c r="I1544" s="159"/>
      <c r="J1544" s="159"/>
      <c r="K1544" s="159"/>
      <c r="L1544" s="159"/>
      <c r="M1544" s="159"/>
      <c r="N1544" s="159"/>
      <c r="O1544" s="160"/>
    </row>
    <row r="1545" ht="1.5" customHeight="1">
      <c r="A1545" s="161"/>
      <c r="B1545" s="162"/>
      <c r="C1545" s="163"/>
      <c r="D1545" s="164"/>
      <c r="E1545" s="165"/>
      <c r="F1545" s="165"/>
      <c r="G1545" s="165"/>
      <c r="H1545" s="165"/>
      <c r="I1545" s="165"/>
      <c r="J1545" s="165"/>
      <c r="K1545" s="165"/>
      <c r="L1545" s="165"/>
      <c r="M1545" s="165"/>
      <c r="N1545" s="165"/>
      <c r="O1545" s="166"/>
    </row>
    <row r="1546" ht="1.5" customHeight="1">
      <c r="A1546" s="155"/>
      <c r="B1546" s="156"/>
      <c r="C1546" s="157"/>
      <c r="D1546" s="158"/>
      <c r="E1546" s="159"/>
      <c r="F1546" s="159"/>
      <c r="G1546" s="159"/>
      <c r="H1546" s="159"/>
      <c r="I1546" s="159"/>
      <c r="J1546" s="159"/>
      <c r="K1546" s="159"/>
      <c r="L1546" s="159"/>
      <c r="M1546" s="159"/>
      <c r="N1546" s="159"/>
      <c r="O1546" s="160"/>
    </row>
    <row r="1547" ht="1.5" customHeight="1">
      <c r="A1547" s="161"/>
      <c r="B1547" s="162"/>
      <c r="C1547" s="163"/>
      <c r="D1547" s="164"/>
      <c r="E1547" s="165"/>
      <c r="F1547" s="165"/>
      <c r="G1547" s="165"/>
      <c r="H1547" s="165"/>
      <c r="I1547" s="165"/>
      <c r="J1547" s="165"/>
      <c r="K1547" s="165"/>
      <c r="L1547" s="165"/>
      <c r="M1547" s="165"/>
      <c r="N1547" s="165"/>
      <c r="O1547" s="166"/>
    </row>
    <row r="1548" ht="1.5" customHeight="1">
      <c r="A1548" s="155"/>
      <c r="B1548" s="156"/>
      <c r="C1548" s="157"/>
      <c r="D1548" s="158"/>
      <c r="E1548" s="159"/>
      <c r="F1548" s="159"/>
      <c r="G1548" s="159"/>
      <c r="H1548" s="159"/>
      <c r="I1548" s="159"/>
      <c r="J1548" s="159"/>
      <c r="K1548" s="159"/>
      <c r="L1548" s="159"/>
      <c r="M1548" s="159"/>
      <c r="N1548" s="159"/>
      <c r="O1548" s="160"/>
    </row>
    <row r="1549" ht="1.5" customHeight="1">
      <c r="A1549" s="161"/>
      <c r="B1549" s="162"/>
      <c r="C1549" s="163"/>
      <c r="D1549" s="164"/>
      <c r="E1549" s="165"/>
      <c r="F1549" s="165"/>
      <c r="G1549" s="165"/>
      <c r="H1549" s="165"/>
      <c r="I1549" s="165"/>
      <c r="J1549" s="165"/>
      <c r="K1549" s="165"/>
      <c r="L1549" s="165"/>
      <c r="M1549" s="165"/>
      <c r="N1549" s="165"/>
      <c r="O1549" s="166"/>
    </row>
    <row r="1550" ht="1.5" customHeight="1">
      <c r="A1550" s="155"/>
      <c r="B1550" s="156"/>
      <c r="C1550" s="157"/>
      <c r="D1550" s="158"/>
      <c r="E1550" s="159"/>
      <c r="F1550" s="159"/>
      <c r="G1550" s="159"/>
      <c r="H1550" s="159"/>
      <c r="I1550" s="159"/>
      <c r="J1550" s="159"/>
      <c r="K1550" s="159"/>
      <c r="L1550" s="159"/>
      <c r="M1550" s="159"/>
      <c r="N1550" s="159"/>
      <c r="O1550" s="160"/>
    </row>
    <row r="1551" ht="1.5" customHeight="1">
      <c r="A1551" s="161"/>
      <c r="B1551" s="162"/>
      <c r="C1551" s="163"/>
      <c r="D1551" s="164"/>
      <c r="E1551" s="165"/>
      <c r="F1551" s="165"/>
      <c r="G1551" s="165"/>
      <c r="H1551" s="165"/>
      <c r="I1551" s="165"/>
      <c r="J1551" s="165"/>
      <c r="K1551" s="165"/>
      <c r="L1551" s="165"/>
      <c r="M1551" s="165"/>
      <c r="N1551" s="165"/>
      <c r="O1551" s="166"/>
    </row>
    <row r="1552" ht="1.5" customHeight="1">
      <c r="A1552" s="155"/>
      <c r="B1552" s="156"/>
      <c r="C1552" s="157"/>
      <c r="D1552" s="158"/>
      <c r="E1552" s="159"/>
      <c r="F1552" s="159"/>
      <c r="G1552" s="159"/>
      <c r="H1552" s="159"/>
      <c r="I1552" s="159"/>
      <c r="J1552" s="159"/>
      <c r="K1552" s="159"/>
      <c r="L1552" s="159"/>
      <c r="M1552" s="159"/>
      <c r="N1552" s="159"/>
      <c r="O1552" s="160"/>
    </row>
    <row r="1553" ht="1.5" customHeight="1">
      <c r="A1553" s="161"/>
      <c r="B1553" s="162"/>
      <c r="C1553" s="163"/>
      <c r="D1553" s="164"/>
      <c r="E1553" s="165"/>
      <c r="F1553" s="165"/>
      <c r="G1553" s="165"/>
      <c r="H1553" s="165"/>
      <c r="I1553" s="165"/>
      <c r="J1553" s="165"/>
      <c r="K1553" s="165"/>
      <c r="L1553" s="165"/>
      <c r="M1553" s="165"/>
      <c r="N1553" s="165"/>
      <c r="O1553" s="166"/>
    </row>
    <row r="1554" ht="1.5" customHeight="1">
      <c r="A1554" s="155"/>
      <c r="B1554" s="156"/>
      <c r="C1554" s="157"/>
      <c r="D1554" s="158"/>
      <c r="E1554" s="159"/>
      <c r="F1554" s="159"/>
      <c r="G1554" s="159"/>
      <c r="H1554" s="159"/>
      <c r="I1554" s="159"/>
      <c r="J1554" s="159"/>
      <c r="K1554" s="159"/>
      <c r="L1554" s="159"/>
      <c r="M1554" s="159"/>
      <c r="N1554" s="159"/>
      <c r="O1554" s="160"/>
    </row>
    <row r="1555" ht="1.5" customHeight="1">
      <c r="A1555" s="161"/>
      <c r="B1555" s="162"/>
      <c r="C1555" s="163"/>
      <c r="D1555" s="164"/>
      <c r="E1555" s="165"/>
      <c r="F1555" s="165"/>
      <c r="G1555" s="165"/>
      <c r="H1555" s="165"/>
      <c r="I1555" s="165"/>
      <c r="J1555" s="165"/>
      <c r="K1555" s="165"/>
      <c r="L1555" s="165"/>
      <c r="M1555" s="165"/>
      <c r="N1555" s="165"/>
      <c r="O1555" s="166"/>
    </row>
    <row r="1556" ht="1.5" customHeight="1">
      <c r="A1556" s="155"/>
      <c r="B1556" s="156"/>
      <c r="C1556" s="157"/>
      <c r="D1556" s="158"/>
      <c r="E1556" s="159"/>
      <c r="F1556" s="159"/>
      <c r="G1556" s="159"/>
      <c r="H1556" s="159"/>
      <c r="I1556" s="159"/>
      <c r="J1556" s="159"/>
      <c r="K1556" s="159"/>
      <c r="L1556" s="159"/>
      <c r="M1556" s="159"/>
      <c r="N1556" s="159"/>
      <c r="O1556" s="160"/>
    </row>
    <row r="1557" ht="1.5" customHeight="1">
      <c r="A1557" s="161"/>
      <c r="B1557" s="162"/>
      <c r="C1557" s="163"/>
      <c r="D1557" s="164"/>
      <c r="E1557" s="165"/>
      <c r="F1557" s="165"/>
      <c r="G1557" s="165"/>
      <c r="H1557" s="165"/>
      <c r="I1557" s="165"/>
      <c r="J1557" s="165"/>
      <c r="K1557" s="165"/>
      <c r="L1557" s="165"/>
      <c r="M1557" s="165"/>
      <c r="N1557" s="165"/>
      <c r="O1557" s="166"/>
    </row>
    <row r="1558" ht="1.5" customHeight="1">
      <c r="A1558" s="155"/>
      <c r="B1558" s="156"/>
      <c r="C1558" s="157"/>
      <c r="D1558" s="158"/>
      <c r="E1558" s="159"/>
      <c r="F1558" s="159"/>
      <c r="G1558" s="159"/>
      <c r="H1558" s="159"/>
      <c r="I1558" s="159"/>
      <c r="J1558" s="159"/>
      <c r="K1558" s="159"/>
      <c r="L1558" s="159"/>
      <c r="M1558" s="159"/>
      <c r="N1558" s="159"/>
      <c r="O1558" s="160"/>
    </row>
    <row r="1559" ht="1.5" customHeight="1">
      <c r="A1559" s="161"/>
      <c r="B1559" s="162"/>
      <c r="C1559" s="163"/>
      <c r="D1559" s="164"/>
      <c r="E1559" s="165"/>
      <c r="F1559" s="165"/>
      <c r="G1559" s="165"/>
      <c r="H1559" s="165"/>
      <c r="I1559" s="165"/>
      <c r="J1559" s="165"/>
      <c r="K1559" s="165"/>
      <c r="L1559" s="165"/>
      <c r="M1559" s="165"/>
      <c r="N1559" s="165"/>
      <c r="O1559" s="166"/>
    </row>
    <row r="1560" ht="1.5" customHeight="1">
      <c r="A1560" s="155"/>
      <c r="B1560" s="156"/>
      <c r="C1560" s="157"/>
      <c r="D1560" s="158"/>
      <c r="E1560" s="159"/>
      <c r="F1560" s="159"/>
      <c r="G1560" s="159"/>
      <c r="H1560" s="159"/>
      <c r="I1560" s="159"/>
      <c r="J1560" s="159"/>
      <c r="K1560" s="159"/>
      <c r="L1560" s="159"/>
      <c r="M1560" s="159"/>
      <c r="N1560" s="159"/>
      <c r="O1560" s="160"/>
    </row>
    <row r="1561" ht="1.5" customHeight="1">
      <c r="A1561" s="161"/>
      <c r="B1561" s="162"/>
      <c r="C1561" s="163"/>
      <c r="D1561" s="164"/>
      <c r="E1561" s="165"/>
      <c r="F1561" s="165"/>
      <c r="G1561" s="165"/>
      <c r="H1561" s="165"/>
      <c r="I1561" s="165"/>
      <c r="J1561" s="165"/>
      <c r="K1561" s="165"/>
      <c r="L1561" s="165"/>
      <c r="M1561" s="165"/>
      <c r="N1561" s="165"/>
      <c r="O1561" s="166"/>
    </row>
    <row r="1562" ht="1.5" customHeight="1">
      <c r="A1562" s="155"/>
      <c r="B1562" s="156"/>
      <c r="C1562" s="157"/>
      <c r="D1562" s="158"/>
      <c r="E1562" s="159"/>
      <c r="F1562" s="159"/>
      <c r="G1562" s="159"/>
      <c r="H1562" s="159"/>
      <c r="I1562" s="159"/>
      <c r="J1562" s="159"/>
      <c r="K1562" s="159"/>
      <c r="L1562" s="159"/>
      <c r="M1562" s="159"/>
      <c r="N1562" s="159"/>
      <c r="O1562" s="160"/>
    </row>
    <row r="1563" ht="1.5" customHeight="1">
      <c r="A1563" s="161"/>
      <c r="B1563" s="162"/>
      <c r="C1563" s="163"/>
      <c r="D1563" s="164"/>
      <c r="E1563" s="165"/>
      <c r="F1563" s="165"/>
      <c r="G1563" s="165"/>
      <c r="H1563" s="165"/>
      <c r="I1563" s="165"/>
      <c r="J1563" s="165"/>
      <c r="K1563" s="165"/>
      <c r="L1563" s="165"/>
      <c r="M1563" s="165"/>
      <c r="N1563" s="165"/>
      <c r="O1563" s="166"/>
    </row>
    <row r="1564" ht="1.5" customHeight="1">
      <c r="A1564" s="155"/>
      <c r="B1564" s="156"/>
      <c r="C1564" s="157"/>
      <c r="D1564" s="158"/>
      <c r="E1564" s="159"/>
      <c r="F1564" s="159"/>
      <c r="G1564" s="159"/>
      <c r="H1564" s="159"/>
      <c r="I1564" s="159"/>
      <c r="J1564" s="159"/>
      <c r="K1564" s="159"/>
      <c r="L1564" s="159"/>
      <c r="M1564" s="159"/>
      <c r="N1564" s="159"/>
      <c r="O1564" s="160"/>
    </row>
    <row r="1565" ht="1.5" customHeight="1">
      <c r="A1565" s="161"/>
      <c r="B1565" s="162"/>
      <c r="C1565" s="163"/>
      <c r="D1565" s="164"/>
      <c r="E1565" s="165"/>
      <c r="F1565" s="165"/>
      <c r="G1565" s="165"/>
      <c r="H1565" s="165"/>
      <c r="I1565" s="165"/>
      <c r="J1565" s="165"/>
      <c r="K1565" s="165"/>
      <c r="L1565" s="165"/>
      <c r="M1565" s="165"/>
      <c r="N1565" s="165"/>
      <c r="O1565" s="166"/>
    </row>
    <row r="1566" ht="1.5" customHeight="1">
      <c r="A1566" s="155"/>
      <c r="B1566" s="156"/>
      <c r="C1566" s="157"/>
      <c r="D1566" s="158"/>
      <c r="E1566" s="159"/>
      <c r="F1566" s="159"/>
      <c r="G1566" s="159"/>
      <c r="H1566" s="159"/>
      <c r="I1566" s="159"/>
      <c r="J1566" s="159"/>
      <c r="K1566" s="159"/>
      <c r="L1566" s="159"/>
      <c r="M1566" s="159"/>
      <c r="N1566" s="159"/>
      <c r="O1566" s="160"/>
    </row>
    <row r="1567" ht="1.5" customHeight="1">
      <c r="A1567" s="161"/>
      <c r="B1567" s="162"/>
      <c r="C1567" s="163"/>
      <c r="D1567" s="164"/>
      <c r="E1567" s="165"/>
      <c r="F1567" s="165"/>
      <c r="G1567" s="165"/>
      <c r="H1567" s="165"/>
      <c r="I1567" s="165"/>
      <c r="J1567" s="165"/>
      <c r="K1567" s="165"/>
      <c r="L1567" s="165"/>
      <c r="M1567" s="165"/>
      <c r="N1567" s="165"/>
      <c r="O1567" s="166"/>
    </row>
    <row r="1568" ht="1.5" customHeight="1">
      <c r="A1568" s="155"/>
      <c r="B1568" s="156"/>
      <c r="C1568" s="157"/>
      <c r="D1568" s="158"/>
      <c r="E1568" s="159"/>
      <c r="F1568" s="159"/>
      <c r="G1568" s="159"/>
      <c r="H1568" s="159"/>
      <c r="I1568" s="159"/>
      <c r="J1568" s="159"/>
      <c r="K1568" s="159"/>
      <c r="L1568" s="159"/>
      <c r="M1568" s="159"/>
      <c r="N1568" s="159"/>
      <c r="O1568" s="160"/>
    </row>
    <row r="1569" ht="1.5" customHeight="1">
      <c r="A1569" s="161"/>
      <c r="B1569" s="162"/>
      <c r="C1569" s="163"/>
      <c r="D1569" s="164"/>
      <c r="E1569" s="165"/>
      <c r="F1569" s="165"/>
      <c r="G1569" s="165"/>
      <c r="H1569" s="165"/>
      <c r="I1569" s="165"/>
      <c r="J1569" s="165"/>
      <c r="K1569" s="165"/>
      <c r="L1569" s="165"/>
      <c r="M1569" s="165"/>
      <c r="N1569" s="165"/>
      <c r="O1569" s="166"/>
    </row>
    <row r="1570" ht="1.5" customHeight="1">
      <c r="A1570" s="155"/>
      <c r="B1570" s="156"/>
      <c r="C1570" s="157"/>
      <c r="D1570" s="158"/>
      <c r="E1570" s="159"/>
      <c r="F1570" s="159"/>
      <c r="G1570" s="159"/>
      <c r="H1570" s="159"/>
      <c r="I1570" s="159"/>
      <c r="J1570" s="159"/>
      <c r="K1570" s="159"/>
      <c r="L1570" s="159"/>
      <c r="M1570" s="159"/>
      <c r="N1570" s="159"/>
      <c r="O1570" s="160"/>
    </row>
    <row r="1571" ht="1.5" customHeight="1">
      <c r="A1571" s="161"/>
      <c r="B1571" s="162"/>
      <c r="C1571" s="163"/>
      <c r="D1571" s="164"/>
      <c r="E1571" s="165"/>
      <c r="F1571" s="165"/>
      <c r="G1571" s="165"/>
      <c r="H1571" s="165"/>
      <c r="I1571" s="165"/>
      <c r="J1571" s="165"/>
      <c r="K1571" s="165"/>
      <c r="L1571" s="165"/>
      <c r="M1571" s="165"/>
      <c r="N1571" s="165"/>
      <c r="O1571" s="166"/>
    </row>
    <row r="1572" ht="1.5" customHeight="1">
      <c r="A1572" s="155"/>
      <c r="B1572" s="156"/>
      <c r="C1572" s="157"/>
      <c r="D1572" s="158"/>
      <c r="E1572" s="159"/>
      <c r="F1572" s="159"/>
      <c r="G1572" s="159"/>
      <c r="H1572" s="159"/>
      <c r="I1572" s="159"/>
      <c r="J1572" s="159"/>
      <c r="K1572" s="159"/>
      <c r="L1572" s="159"/>
      <c r="M1572" s="159"/>
      <c r="N1572" s="159"/>
      <c r="O1572" s="160"/>
    </row>
    <row r="1573" ht="1.5" customHeight="1">
      <c r="A1573" s="161"/>
      <c r="B1573" s="162"/>
      <c r="C1573" s="163"/>
      <c r="D1573" s="164"/>
      <c r="E1573" s="165"/>
      <c r="F1573" s="165"/>
      <c r="G1573" s="165"/>
      <c r="H1573" s="165"/>
      <c r="I1573" s="165"/>
      <c r="J1573" s="165"/>
      <c r="K1573" s="165"/>
      <c r="L1573" s="165"/>
      <c r="M1573" s="165"/>
      <c r="N1573" s="165"/>
      <c r="O1573" s="166"/>
    </row>
    <row r="1574" ht="1.5" customHeight="1">
      <c r="A1574" s="155"/>
      <c r="B1574" s="156"/>
      <c r="C1574" s="157"/>
      <c r="D1574" s="158"/>
      <c r="E1574" s="159"/>
      <c r="F1574" s="159"/>
      <c r="G1574" s="159"/>
      <c r="H1574" s="159"/>
      <c r="I1574" s="159"/>
      <c r="J1574" s="159"/>
      <c r="K1574" s="159"/>
      <c r="L1574" s="159"/>
      <c r="M1574" s="159"/>
      <c r="N1574" s="159"/>
      <c r="O1574" s="160"/>
    </row>
    <row r="1575" ht="1.5" customHeight="1">
      <c r="A1575" s="161"/>
      <c r="B1575" s="162"/>
      <c r="C1575" s="163"/>
      <c r="D1575" s="164"/>
      <c r="E1575" s="165"/>
      <c r="F1575" s="165"/>
      <c r="G1575" s="165"/>
      <c r="H1575" s="165"/>
      <c r="I1575" s="165"/>
      <c r="J1575" s="165"/>
      <c r="K1575" s="165"/>
      <c r="L1575" s="165"/>
      <c r="M1575" s="165"/>
      <c r="N1575" s="165"/>
      <c r="O1575" s="166"/>
    </row>
    <row r="1576" ht="1.5" customHeight="1">
      <c r="A1576" s="155"/>
      <c r="B1576" s="156"/>
      <c r="C1576" s="157"/>
      <c r="D1576" s="158"/>
      <c r="E1576" s="159"/>
      <c r="F1576" s="159"/>
      <c r="G1576" s="159"/>
      <c r="H1576" s="159"/>
      <c r="I1576" s="159"/>
      <c r="J1576" s="159"/>
      <c r="K1576" s="159"/>
      <c r="L1576" s="159"/>
      <c r="M1576" s="159"/>
      <c r="N1576" s="159"/>
      <c r="O1576" s="160"/>
    </row>
    <row r="1577" ht="1.5" customHeight="1">
      <c r="A1577" s="161"/>
      <c r="B1577" s="162"/>
      <c r="C1577" s="163"/>
      <c r="D1577" s="164"/>
      <c r="E1577" s="165"/>
      <c r="F1577" s="165"/>
      <c r="G1577" s="165"/>
      <c r="H1577" s="165"/>
      <c r="I1577" s="165"/>
      <c r="J1577" s="165"/>
      <c r="K1577" s="165"/>
      <c r="L1577" s="165"/>
      <c r="M1577" s="165"/>
      <c r="N1577" s="165"/>
      <c r="O1577" s="166"/>
    </row>
    <row r="1578" ht="1.5" customHeight="1">
      <c r="A1578" s="155"/>
      <c r="B1578" s="156"/>
      <c r="C1578" s="157"/>
      <c r="D1578" s="158"/>
      <c r="E1578" s="159"/>
      <c r="F1578" s="159"/>
      <c r="G1578" s="159"/>
      <c r="H1578" s="159"/>
      <c r="I1578" s="159"/>
      <c r="J1578" s="159"/>
      <c r="K1578" s="159"/>
      <c r="L1578" s="159"/>
      <c r="M1578" s="159"/>
      <c r="N1578" s="159"/>
      <c r="O1578" s="160"/>
    </row>
    <row r="1579" ht="1.5" customHeight="1">
      <c r="A1579" s="161"/>
      <c r="B1579" s="162"/>
      <c r="C1579" s="163"/>
      <c r="D1579" s="164"/>
      <c r="E1579" s="165"/>
      <c r="F1579" s="165"/>
      <c r="G1579" s="165"/>
      <c r="H1579" s="165"/>
      <c r="I1579" s="165"/>
      <c r="J1579" s="165"/>
      <c r="K1579" s="165"/>
      <c r="L1579" s="165"/>
      <c r="M1579" s="165"/>
      <c r="N1579" s="165"/>
      <c r="O1579" s="166"/>
    </row>
    <row r="1580" ht="1.5" customHeight="1">
      <c r="A1580" s="155"/>
      <c r="B1580" s="156"/>
      <c r="C1580" s="157"/>
      <c r="D1580" s="158"/>
      <c r="E1580" s="159"/>
      <c r="F1580" s="159"/>
      <c r="G1580" s="159"/>
      <c r="H1580" s="159"/>
      <c r="I1580" s="159"/>
      <c r="J1580" s="159"/>
      <c r="K1580" s="159"/>
      <c r="L1580" s="159"/>
      <c r="M1580" s="159"/>
      <c r="N1580" s="159"/>
      <c r="O1580" s="160"/>
    </row>
    <row r="1581" ht="1.5" customHeight="1">
      <c r="A1581" s="161"/>
      <c r="B1581" s="162"/>
      <c r="C1581" s="163"/>
      <c r="D1581" s="164"/>
      <c r="E1581" s="165"/>
      <c r="F1581" s="165"/>
      <c r="G1581" s="165"/>
      <c r="H1581" s="165"/>
      <c r="I1581" s="165"/>
      <c r="J1581" s="165"/>
      <c r="K1581" s="165"/>
      <c r="L1581" s="165"/>
      <c r="M1581" s="165"/>
      <c r="N1581" s="165"/>
      <c r="O1581" s="166"/>
    </row>
    <row r="1582" ht="1.5" customHeight="1">
      <c r="A1582" s="155"/>
      <c r="B1582" s="156"/>
      <c r="C1582" s="157"/>
      <c r="D1582" s="158"/>
      <c r="E1582" s="159"/>
      <c r="F1582" s="159"/>
      <c r="G1582" s="159"/>
      <c r="H1582" s="159"/>
      <c r="I1582" s="159"/>
      <c r="J1582" s="159"/>
      <c r="K1582" s="159"/>
      <c r="L1582" s="159"/>
      <c r="M1582" s="159"/>
      <c r="N1582" s="159"/>
      <c r="O1582" s="160"/>
    </row>
    <row r="1583" ht="1.5" customHeight="1">
      <c r="A1583" s="161"/>
      <c r="B1583" s="162"/>
      <c r="C1583" s="163"/>
      <c r="D1583" s="164"/>
      <c r="E1583" s="165"/>
      <c r="F1583" s="165"/>
      <c r="G1583" s="165"/>
      <c r="H1583" s="165"/>
      <c r="I1583" s="165"/>
      <c r="J1583" s="165"/>
      <c r="K1583" s="165"/>
      <c r="L1583" s="165"/>
      <c r="M1583" s="165"/>
      <c r="N1583" s="165"/>
      <c r="O1583" s="166"/>
    </row>
    <row r="1584" ht="1.5" customHeight="1">
      <c r="A1584" s="155"/>
      <c r="B1584" s="156"/>
      <c r="C1584" s="157"/>
      <c r="D1584" s="158"/>
      <c r="E1584" s="159"/>
      <c r="F1584" s="159"/>
      <c r="G1584" s="159"/>
      <c r="H1584" s="159"/>
      <c r="I1584" s="159"/>
      <c r="J1584" s="159"/>
      <c r="K1584" s="159"/>
      <c r="L1584" s="159"/>
      <c r="M1584" s="159"/>
      <c r="N1584" s="159"/>
      <c r="O1584" s="160"/>
    </row>
    <row r="1585" ht="1.5" customHeight="1">
      <c r="A1585" s="161"/>
      <c r="B1585" s="162"/>
      <c r="C1585" s="163"/>
      <c r="D1585" s="164"/>
      <c r="E1585" s="165"/>
      <c r="F1585" s="165"/>
      <c r="G1585" s="165"/>
      <c r="H1585" s="165"/>
      <c r="I1585" s="165"/>
      <c r="J1585" s="165"/>
      <c r="K1585" s="165"/>
      <c r="L1585" s="165"/>
      <c r="M1585" s="165"/>
      <c r="N1585" s="165"/>
      <c r="O1585" s="166"/>
    </row>
    <row r="1586" ht="1.5" customHeight="1">
      <c r="A1586" s="155"/>
      <c r="B1586" s="156"/>
      <c r="C1586" s="157"/>
      <c r="D1586" s="158"/>
      <c r="E1586" s="159"/>
      <c r="F1586" s="159"/>
      <c r="G1586" s="159"/>
      <c r="H1586" s="159"/>
      <c r="I1586" s="159"/>
      <c r="J1586" s="159"/>
      <c r="K1586" s="159"/>
      <c r="L1586" s="159"/>
      <c r="M1586" s="159"/>
      <c r="N1586" s="159"/>
      <c r="O1586" s="160"/>
    </row>
    <row r="1587" ht="1.5" customHeight="1">
      <c r="A1587" s="161"/>
      <c r="B1587" s="162"/>
      <c r="C1587" s="163"/>
      <c r="D1587" s="164"/>
      <c r="E1587" s="165"/>
      <c r="F1587" s="165"/>
      <c r="G1587" s="165"/>
      <c r="H1587" s="165"/>
      <c r="I1587" s="165"/>
      <c r="J1587" s="165"/>
      <c r="K1587" s="165"/>
      <c r="L1587" s="165"/>
      <c r="M1587" s="165"/>
      <c r="N1587" s="165"/>
      <c r="O1587" s="166"/>
    </row>
    <row r="1588" ht="1.5" customHeight="1">
      <c r="A1588" s="155"/>
      <c r="B1588" s="156"/>
      <c r="C1588" s="157"/>
      <c r="D1588" s="158"/>
      <c r="E1588" s="159"/>
      <c r="F1588" s="159"/>
      <c r="G1588" s="159"/>
      <c r="H1588" s="159"/>
      <c r="I1588" s="159"/>
      <c r="J1588" s="159"/>
      <c r="K1588" s="159"/>
      <c r="L1588" s="159"/>
      <c r="M1588" s="159"/>
      <c r="N1588" s="159"/>
      <c r="O1588" s="160"/>
    </row>
    <row r="1589" ht="1.5" customHeight="1">
      <c r="A1589" s="161"/>
      <c r="B1589" s="162"/>
      <c r="C1589" s="163"/>
      <c r="D1589" s="164"/>
      <c r="E1589" s="165"/>
      <c r="F1589" s="165"/>
      <c r="G1589" s="165"/>
      <c r="H1589" s="165"/>
      <c r="I1589" s="165"/>
      <c r="J1589" s="165"/>
      <c r="K1589" s="165"/>
      <c r="L1589" s="165"/>
      <c r="M1589" s="165"/>
      <c r="N1589" s="165"/>
      <c r="O1589" s="166"/>
    </row>
    <row r="1590" ht="1.5" customHeight="1">
      <c r="A1590" s="155"/>
      <c r="B1590" s="156"/>
      <c r="C1590" s="157"/>
      <c r="D1590" s="158"/>
      <c r="E1590" s="159"/>
      <c r="F1590" s="159"/>
      <c r="G1590" s="159"/>
      <c r="H1590" s="159"/>
      <c r="I1590" s="159"/>
      <c r="J1590" s="159"/>
      <c r="K1590" s="159"/>
      <c r="L1590" s="159"/>
      <c r="M1590" s="159"/>
      <c r="N1590" s="159"/>
      <c r="O1590" s="160"/>
    </row>
    <row r="1591" ht="1.5" customHeight="1">
      <c r="A1591" s="161"/>
      <c r="B1591" s="162"/>
      <c r="C1591" s="163"/>
      <c r="D1591" s="164"/>
      <c r="E1591" s="165"/>
      <c r="F1591" s="165"/>
      <c r="G1591" s="165"/>
      <c r="H1591" s="165"/>
      <c r="I1591" s="165"/>
      <c r="J1591" s="165"/>
      <c r="K1591" s="165"/>
      <c r="L1591" s="165"/>
      <c r="M1591" s="165"/>
      <c r="N1591" s="165"/>
      <c r="O1591" s="166"/>
    </row>
    <row r="1592" ht="1.5" customHeight="1">
      <c r="A1592" s="155"/>
      <c r="B1592" s="156"/>
      <c r="C1592" s="157"/>
      <c r="D1592" s="158"/>
      <c r="E1592" s="159"/>
      <c r="F1592" s="159"/>
      <c r="G1592" s="159"/>
      <c r="H1592" s="159"/>
      <c r="I1592" s="159"/>
      <c r="J1592" s="159"/>
      <c r="K1592" s="159"/>
      <c r="L1592" s="159"/>
      <c r="M1592" s="159"/>
      <c r="N1592" s="159"/>
      <c r="O1592" s="160"/>
    </row>
    <row r="1593" ht="1.5" customHeight="1">
      <c r="A1593" s="161"/>
      <c r="B1593" s="162"/>
      <c r="C1593" s="163"/>
      <c r="D1593" s="164"/>
      <c r="E1593" s="165"/>
      <c r="F1593" s="165"/>
      <c r="G1593" s="165"/>
      <c r="H1593" s="165"/>
      <c r="I1593" s="165"/>
      <c r="J1593" s="165"/>
      <c r="K1593" s="165"/>
      <c r="L1593" s="165"/>
      <c r="M1593" s="165"/>
      <c r="N1593" s="165"/>
      <c r="O1593" s="166"/>
    </row>
    <row r="1594" ht="1.5" customHeight="1">
      <c r="A1594" s="155"/>
      <c r="B1594" s="156"/>
      <c r="C1594" s="157"/>
      <c r="D1594" s="158"/>
      <c r="E1594" s="159"/>
      <c r="F1594" s="159"/>
      <c r="G1594" s="159"/>
      <c r="H1594" s="159"/>
      <c r="I1594" s="159"/>
      <c r="J1594" s="159"/>
      <c r="K1594" s="159"/>
      <c r="L1594" s="159"/>
      <c r="M1594" s="159"/>
      <c r="N1594" s="159"/>
      <c r="O1594" s="160"/>
    </row>
    <row r="1595" ht="1.5" customHeight="1">
      <c r="A1595" s="161"/>
      <c r="B1595" s="162"/>
      <c r="C1595" s="163"/>
      <c r="D1595" s="164"/>
      <c r="E1595" s="165"/>
      <c r="F1595" s="165"/>
      <c r="G1595" s="165"/>
      <c r="H1595" s="165"/>
      <c r="I1595" s="165"/>
      <c r="J1595" s="165"/>
      <c r="K1595" s="165"/>
      <c r="L1595" s="165"/>
      <c r="M1595" s="165"/>
      <c r="N1595" s="165"/>
      <c r="O1595" s="166"/>
    </row>
    <row r="1596" ht="1.5" customHeight="1">
      <c r="A1596" s="155"/>
      <c r="B1596" s="156"/>
      <c r="C1596" s="157"/>
      <c r="D1596" s="158"/>
      <c r="E1596" s="159"/>
      <c r="F1596" s="159"/>
      <c r="G1596" s="159"/>
      <c r="H1596" s="159"/>
      <c r="I1596" s="159"/>
      <c r="J1596" s="159"/>
      <c r="K1596" s="159"/>
      <c r="L1596" s="159"/>
      <c r="M1596" s="159"/>
      <c r="N1596" s="159"/>
      <c r="O1596" s="160"/>
    </row>
    <row r="1597" ht="1.5" customHeight="1">
      <c r="A1597" s="161"/>
      <c r="B1597" s="162"/>
      <c r="C1597" s="163"/>
      <c r="D1597" s="164"/>
      <c r="E1597" s="165"/>
      <c r="F1597" s="165"/>
      <c r="G1597" s="165"/>
      <c r="H1597" s="165"/>
      <c r="I1597" s="165"/>
      <c r="J1597" s="165"/>
      <c r="K1597" s="165"/>
      <c r="L1597" s="165"/>
      <c r="M1597" s="165"/>
      <c r="N1597" s="165"/>
      <c r="O1597" s="166"/>
    </row>
    <row r="1598" ht="1.5" customHeight="1">
      <c r="A1598" s="155"/>
      <c r="B1598" s="156"/>
      <c r="C1598" s="157"/>
      <c r="D1598" s="158"/>
      <c r="E1598" s="159"/>
      <c r="F1598" s="159"/>
      <c r="G1598" s="159"/>
      <c r="H1598" s="159"/>
      <c r="I1598" s="159"/>
      <c r="J1598" s="159"/>
      <c r="K1598" s="159"/>
      <c r="L1598" s="159"/>
      <c r="M1598" s="159"/>
      <c r="N1598" s="159"/>
      <c r="O1598" s="160"/>
    </row>
    <row r="1599" ht="1.5" customHeight="1">
      <c r="A1599" s="161"/>
      <c r="B1599" s="162"/>
      <c r="C1599" s="163"/>
      <c r="D1599" s="164"/>
      <c r="E1599" s="165"/>
      <c r="F1599" s="165"/>
      <c r="G1599" s="165"/>
      <c r="H1599" s="165"/>
      <c r="I1599" s="165"/>
      <c r="J1599" s="165"/>
      <c r="K1599" s="165"/>
      <c r="L1599" s="165"/>
      <c r="M1599" s="165"/>
      <c r="N1599" s="165"/>
      <c r="O1599" s="166"/>
    </row>
    <row r="1600" ht="1.5" customHeight="1">
      <c r="A1600" s="155"/>
      <c r="B1600" s="156"/>
      <c r="C1600" s="157"/>
      <c r="D1600" s="158"/>
      <c r="E1600" s="159"/>
      <c r="F1600" s="159"/>
      <c r="G1600" s="159"/>
      <c r="H1600" s="159"/>
      <c r="I1600" s="159"/>
      <c r="J1600" s="159"/>
      <c r="K1600" s="159"/>
      <c r="L1600" s="159"/>
      <c r="M1600" s="159"/>
      <c r="N1600" s="159"/>
      <c r="O1600" s="160"/>
    </row>
    <row r="1601" ht="1.5" customHeight="1">
      <c r="A1601" s="161"/>
      <c r="B1601" s="162"/>
      <c r="C1601" s="163"/>
      <c r="D1601" s="164"/>
      <c r="E1601" s="165"/>
      <c r="F1601" s="165"/>
      <c r="G1601" s="165"/>
      <c r="H1601" s="165"/>
      <c r="I1601" s="165"/>
      <c r="J1601" s="165"/>
      <c r="K1601" s="165"/>
      <c r="L1601" s="165"/>
      <c r="M1601" s="165"/>
      <c r="N1601" s="165"/>
      <c r="O1601" s="166"/>
    </row>
    <row r="1602" ht="1.5" customHeight="1">
      <c r="A1602" s="155"/>
      <c r="B1602" s="156"/>
      <c r="C1602" s="157"/>
      <c r="D1602" s="158"/>
      <c r="E1602" s="159"/>
      <c r="F1602" s="159"/>
      <c r="G1602" s="159"/>
      <c r="H1602" s="159"/>
      <c r="I1602" s="159"/>
      <c r="J1602" s="159"/>
      <c r="K1602" s="159"/>
      <c r="L1602" s="159"/>
      <c r="M1602" s="159"/>
      <c r="N1602" s="159"/>
      <c r="O1602" s="160"/>
    </row>
    <row r="1603" ht="1.5" customHeight="1">
      <c r="A1603" s="161"/>
      <c r="B1603" s="162"/>
      <c r="C1603" s="163"/>
      <c r="D1603" s="164"/>
      <c r="E1603" s="165"/>
      <c r="F1603" s="165"/>
      <c r="G1603" s="165"/>
      <c r="H1603" s="165"/>
      <c r="I1603" s="165"/>
      <c r="J1603" s="165"/>
      <c r="K1603" s="165"/>
      <c r="L1603" s="165"/>
      <c r="M1603" s="165"/>
      <c r="N1603" s="165"/>
      <c r="O1603" s="166"/>
    </row>
    <row r="1604" ht="1.5" customHeight="1">
      <c r="A1604" s="155"/>
      <c r="B1604" s="156"/>
      <c r="C1604" s="157"/>
      <c r="D1604" s="158"/>
      <c r="E1604" s="159"/>
      <c r="F1604" s="159"/>
      <c r="G1604" s="159"/>
      <c r="H1604" s="159"/>
      <c r="I1604" s="159"/>
      <c r="J1604" s="159"/>
      <c r="K1604" s="159"/>
      <c r="L1604" s="159"/>
      <c r="M1604" s="159"/>
      <c r="N1604" s="159"/>
      <c r="O1604" s="160"/>
    </row>
    <row r="1605" ht="1.5" customHeight="1">
      <c r="A1605" s="161"/>
      <c r="B1605" s="162"/>
      <c r="C1605" s="163"/>
      <c r="D1605" s="164"/>
      <c r="E1605" s="165"/>
      <c r="F1605" s="165"/>
      <c r="G1605" s="165"/>
      <c r="H1605" s="165"/>
      <c r="I1605" s="165"/>
      <c r="J1605" s="165"/>
      <c r="K1605" s="165"/>
      <c r="L1605" s="165"/>
      <c r="M1605" s="165"/>
      <c r="N1605" s="165"/>
      <c r="O1605" s="166"/>
    </row>
    <row r="1606" ht="1.5" customHeight="1">
      <c r="A1606" s="155"/>
      <c r="B1606" s="156"/>
      <c r="C1606" s="157"/>
      <c r="D1606" s="158"/>
      <c r="E1606" s="159"/>
      <c r="F1606" s="159"/>
      <c r="G1606" s="159"/>
      <c r="H1606" s="159"/>
      <c r="I1606" s="159"/>
      <c r="J1606" s="159"/>
      <c r="K1606" s="159"/>
      <c r="L1606" s="159"/>
      <c r="M1606" s="159"/>
      <c r="N1606" s="159"/>
      <c r="O1606" s="160"/>
    </row>
    <row r="1607" ht="1.5" customHeight="1">
      <c r="A1607" s="161"/>
      <c r="B1607" s="162"/>
      <c r="C1607" s="163"/>
      <c r="D1607" s="164"/>
      <c r="E1607" s="165"/>
      <c r="F1607" s="165"/>
      <c r="G1607" s="165"/>
      <c r="H1607" s="165"/>
      <c r="I1607" s="165"/>
      <c r="J1607" s="165"/>
      <c r="K1607" s="165"/>
      <c r="L1607" s="165"/>
      <c r="M1607" s="165"/>
      <c r="N1607" s="165"/>
      <c r="O1607" s="166"/>
    </row>
    <row r="1608" ht="1.5" customHeight="1">
      <c r="A1608" s="155"/>
      <c r="B1608" s="156"/>
      <c r="C1608" s="157"/>
      <c r="D1608" s="158"/>
      <c r="E1608" s="159"/>
      <c r="F1608" s="159"/>
      <c r="G1608" s="159"/>
      <c r="H1608" s="159"/>
      <c r="I1608" s="159"/>
      <c r="J1608" s="159"/>
      <c r="K1608" s="159"/>
      <c r="L1608" s="159"/>
      <c r="M1608" s="159"/>
      <c r="N1608" s="159"/>
      <c r="O1608" s="160"/>
    </row>
    <row r="1609" ht="1.5" customHeight="1">
      <c r="A1609" s="161"/>
      <c r="B1609" s="162"/>
      <c r="C1609" s="163"/>
      <c r="D1609" s="164"/>
      <c r="E1609" s="165"/>
      <c r="F1609" s="165"/>
      <c r="G1609" s="165"/>
      <c r="H1609" s="165"/>
      <c r="I1609" s="165"/>
      <c r="J1609" s="165"/>
      <c r="K1609" s="165"/>
      <c r="L1609" s="165"/>
      <c r="M1609" s="165"/>
      <c r="N1609" s="165"/>
      <c r="O1609" s="166"/>
    </row>
    <row r="1610" ht="1.5" customHeight="1">
      <c r="A1610" s="155"/>
      <c r="B1610" s="156"/>
      <c r="C1610" s="157"/>
      <c r="D1610" s="158"/>
      <c r="E1610" s="159"/>
      <c r="F1610" s="159"/>
      <c r="G1610" s="159"/>
      <c r="H1610" s="159"/>
      <c r="I1610" s="159"/>
      <c r="J1610" s="159"/>
      <c r="K1610" s="159"/>
      <c r="L1610" s="159"/>
      <c r="M1610" s="159"/>
      <c r="N1610" s="159"/>
      <c r="O1610" s="160"/>
    </row>
    <row r="1611" ht="1.5" customHeight="1">
      <c r="A1611" s="161"/>
      <c r="B1611" s="162"/>
      <c r="C1611" s="163"/>
      <c r="D1611" s="164"/>
      <c r="E1611" s="165"/>
      <c r="F1611" s="165"/>
      <c r="G1611" s="165"/>
      <c r="H1611" s="165"/>
      <c r="I1611" s="165"/>
      <c r="J1611" s="165"/>
      <c r="K1611" s="165"/>
      <c r="L1611" s="165"/>
      <c r="M1611" s="165"/>
      <c r="N1611" s="165"/>
      <c r="O1611" s="166"/>
    </row>
    <row r="1612" ht="1.5" customHeight="1">
      <c r="A1612" s="155"/>
      <c r="B1612" s="156"/>
      <c r="C1612" s="157"/>
      <c r="D1612" s="158"/>
      <c r="E1612" s="159"/>
      <c r="F1612" s="159"/>
      <c r="G1612" s="159"/>
      <c r="H1612" s="159"/>
      <c r="I1612" s="159"/>
      <c r="J1612" s="159"/>
      <c r="K1612" s="159"/>
      <c r="L1612" s="159"/>
      <c r="M1612" s="159"/>
      <c r="N1612" s="159"/>
      <c r="O1612" s="160"/>
    </row>
    <row r="1613" ht="1.5" customHeight="1">
      <c r="A1613" s="161"/>
      <c r="B1613" s="162"/>
      <c r="C1613" s="163"/>
      <c r="D1613" s="164"/>
      <c r="E1613" s="165"/>
      <c r="F1613" s="165"/>
      <c r="G1613" s="165"/>
      <c r="H1613" s="165"/>
      <c r="I1613" s="165"/>
      <c r="J1613" s="165"/>
      <c r="K1613" s="165"/>
      <c r="L1613" s="165"/>
      <c r="M1613" s="165"/>
      <c r="N1613" s="165"/>
      <c r="O1613" s="166"/>
    </row>
    <row r="1614" ht="1.5" customHeight="1">
      <c r="A1614" s="155"/>
      <c r="B1614" s="156"/>
      <c r="C1614" s="157"/>
      <c r="D1614" s="158"/>
      <c r="E1614" s="159"/>
      <c r="F1614" s="159"/>
      <c r="G1614" s="159"/>
      <c r="H1614" s="159"/>
      <c r="I1614" s="159"/>
      <c r="J1614" s="159"/>
      <c r="K1614" s="159"/>
      <c r="L1614" s="159"/>
      <c r="M1614" s="159"/>
      <c r="N1614" s="159"/>
      <c r="O1614" s="160"/>
    </row>
    <row r="1615" ht="1.5" customHeight="1">
      <c r="A1615" s="161"/>
      <c r="B1615" s="162"/>
      <c r="C1615" s="163"/>
      <c r="D1615" s="164"/>
      <c r="E1615" s="165"/>
      <c r="F1615" s="165"/>
      <c r="G1615" s="165"/>
      <c r="H1615" s="165"/>
      <c r="I1615" s="165"/>
      <c r="J1615" s="165"/>
      <c r="K1615" s="165"/>
      <c r="L1615" s="165"/>
      <c r="M1615" s="165"/>
      <c r="N1615" s="165"/>
      <c r="O1615" s="166"/>
    </row>
    <row r="1616" ht="1.5" customHeight="1">
      <c r="A1616" s="155"/>
      <c r="B1616" s="156"/>
      <c r="C1616" s="157"/>
      <c r="D1616" s="158"/>
      <c r="E1616" s="159"/>
      <c r="F1616" s="159"/>
      <c r="G1616" s="159"/>
      <c r="H1616" s="159"/>
      <c r="I1616" s="159"/>
      <c r="J1616" s="159"/>
      <c r="K1616" s="159"/>
      <c r="L1616" s="159"/>
      <c r="M1616" s="159"/>
      <c r="N1616" s="159"/>
      <c r="O1616" s="160"/>
    </row>
    <row r="1617" ht="1.5" customHeight="1">
      <c r="A1617" s="161"/>
      <c r="B1617" s="162"/>
      <c r="C1617" s="163"/>
      <c r="D1617" s="164"/>
      <c r="E1617" s="165"/>
      <c r="F1617" s="165"/>
      <c r="G1617" s="165"/>
      <c r="H1617" s="165"/>
      <c r="I1617" s="165"/>
      <c r="J1617" s="165"/>
      <c r="K1617" s="165"/>
      <c r="L1617" s="165"/>
      <c r="M1617" s="165"/>
      <c r="N1617" s="165"/>
      <c r="O1617" s="166"/>
    </row>
    <row r="1618" ht="1.5" customHeight="1">
      <c r="A1618" s="155"/>
      <c r="B1618" s="156"/>
      <c r="C1618" s="157"/>
      <c r="D1618" s="158"/>
      <c r="E1618" s="159"/>
      <c r="F1618" s="159"/>
      <c r="G1618" s="159"/>
      <c r="H1618" s="159"/>
      <c r="I1618" s="159"/>
      <c r="J1618" s="159"/>
      <c r="K1618" s="159"/>
      <c r="L1618" s="159"/>
      <c r="M1618" s="159"/>
      <c r="N1618" s="159"/>
      <c r="O1618" s="160"/>
    </row>
    <row r="1619" ht="1.5" customHeight="1">
      <c r="A1619" s="161"/>
      <c r="B1619" s="162"/>
      <c r="C1619" s="163"/>
      <c r="D1619" s="164"/>
      <c r="E1619" s="165"/>
      <c r="F1619" s="165"/>
      <c r="G1619" s="165"/>
      <c r="H1619" s="165"/>
      <c r="I1619" s="165"/>
      <c r="J1619" s="165"/>
      <c r="K1619" s="165"/>
      <c r="L1619" s="165"/>
      <c r="M1619" s="165"/>
      <c r="N1619" s="165"/>
      <c r="O1619" s="166"/>
    </row>
    <row r="1620" ht="1.5" customHeight="1">
      <c r="A1620" s="155"/>
      <c r="B1620" s="156"/>
      <c r="C1620" s="157"/>
      <c r="D1620" s="158"/>
      <c r="E1620" s="159"/>
      <c r="F1620" s="159"/>
      <c r="G1620" s="159"/>
      <c r="H1620" s="159"/>
      <c r="I1620" s="159"/>
      <c r="J1620" s="159"/>
      <c r="K1620" s="159"/>
      <c r="L1620" s="159"/>
      <c r="M1620" s="159"/>
      <c r="N1620" s="159"/>
      <c r="O1620" s="160"/>
    </row>
    <row r="1621" ht="1.5" customHeight="1">
      <c r="A1621" s="161"/>
      <c r="B1621" s="162"/>
      <c r="C1621" s="163"/>
      <c r="D1621" s="164"/>
      <c r="E1621" s="165"/>
      <c r="F1621" s="165"/>
      <c r="G1621" s="165"/>
      <c r="H1621" s="165"/>
      <c r="I1621" s="165"/>
      <c r="J1621" s="165"/>
      <c r="K1621" s="165"/>
      <c r="L1621" s="165"/>
      <c r="M1621" s="165"/>
      <c r="N1621" s="165"/>
      <c r="O1621" s="166"/>
    </row>
    <row r="1622" ht="1.5" customHeight="1">
      <c r="A1622" s="155"/>
      <c r="B1622" s="156"/>
      <c r="C1622" s="157"/>
      <c r="D1622" s="158"/>
      <c r="E1622" s="159"/>
      <c r="F1622" s="159"/>
      <c r="G1622" s="159"/>
      <c r="H1622" s="159"/>
      <c r="I1622" s="159"/>
      <c r="J1622" s="159"/>
      <c r="K1622" s="159"/>
      <c r="L1622" s="159"/>
      <c r="M1622" s="159"/>
      <c r="N1622" s="159"/>
      <c r="O1622" s="160"/>
    </row>
    <row r="1623" ht="1.5" customHeight="1">
      <c r="A1623" s="161"/>
      <c r="B1623" s="162"/>
      <c r="C1623" s="163"/>
      <c r="D1623" s="164"/>
      <c r="E1623" s="165"/>
      <c r="F1623" s="165"/>
      <c r="G1623" s="165"/>
      <c r="H1623" s="165"/>
      <c r="I1623" s="165"/>
      <c r="J1623" s="165"/>
      <c r="K1623" s="165"/>
      <c r="L1623" s="165"/>
      <c r="M1623" s="165"/>
      <c r="N1623" s="165"/>
      <c r="O1623" s="166"/>
    </row>
    <row r="1624" ht="1.5" customHeight="1">
      <c r="A1624" s="155"/>
      <c r="B1624" s="156"/>
      <c r="C1624" s="157"/>
      <c r="D1624" s="158"/>
      <c r="E1624" s="159"/>
      <c r="F1624" s="159"/>
      <c r="G1624" s="159"/>
      <c r="H1624" s="159"/>
      <c r="I1624" s="159"/>
      <c r="J1624" s="159"/>
      <c r="K1624" s="159"/>
      <c r="L1624" s="159"/>
      <c r="M1624" s="159"/>
      <c r="N1624" s="159"/>
      <c r="O1624" s="160"/>
    </row>
    <row r="1625" ht="1.5" customHeight="1">
      <c r="A1625" s="161"/>
      <c r="B1625" s="162"/>
      <c r="C1625" s="163"/>
      <c r="D1625" s="164"/>
      <c r="E1625" s="165"/>
      <c r="F1625" s="165"/>
      <c r="G1625" s="165"/>
      <c r="H1625" s="165"/>
      <c r="I1625" s="165"/>
      <c r="J1625" s="165"/>
      <c r="K1625" s="165"/>
      <c r="L1625" s="165"/>
      <c r="M1625" s="165"/>
      <c r="N1625" s="165"/>
      <c r="O1625" s="166"/>
    </row>
    <row r="1626" ht="1.5" customHeight="1">
      <c r="A1626" s="155"/>
      <c r="B1626" s="156"/>
      <c r="C1626" s="157"/>
      <c r="D1626" s="158"/>
      <c r="E1626" s="159"/>
      <c r="F1626" s="159"/>
      <c r="G1626" s="159"/>
      <c r="H1626" s="159"/>
      <c r="I1626" s="159"/>
      <c r="J1626" s="159"/>
      <c r="K1626" s="159"/>
      <c r="L1626" s="159"/>
      <c r="M1626" s="159"/>
      <c r="N1626" s="159"/>
      <c r="O1626" s="160"/>
    </row>
    <row r="1627" ht="1.5" customHeight="1">
      <c r="A1627" s="161"/>
      <c r="B1627" s="162"/>
      <c r="C1627" s="163"/>
      <c r="D1627" s="164"/>
      <c r="E1627" s="165"/>
      <c r="F1627" s="165"/>
      <c r="G1627" s="165"/>
      <c r="H1627" s="165"/>
      <c r="I1627" s="165"/>
      <c r="J1627" s="165"/>
      <c r="K1627" s="165"/>
      <c r="L1627" s="165"/>
      <c r="M1627" s="165"/>
      <c r="N1627" s="165"/>
      <c r="O1627" s="166"/>
    </row>
    <row r="1628" ht="1.5" customHeight="1">
      <c r="A1628" s="155"/>
      <c r="B1628" s="156"/>
      <c r="C1628" s="157"/>
      <c r="D1628" s="158"/>
      <c r="E1628" s="159"/>
      <c r="F1628" s="159"/>
      <c r="G1628" s="159"/>
      <c r="H1628" s="159"/>
      <c r="I1628" s="159"/>
      <c r="J1628" s="159"/>
      <c r="K1628" s="159"/>
      <c r="L1628" s="159"/>
      <c r="M1628" s="159"/>
      <c r="N1628" s="159"/>
      <c r="O1628" s="160"/>
    </row>
    <row r="1629" ht="1.5" customHeight="1">
      <c r="A1629" s="161"/>
      <c r="B1629" s="162"/>
      <c r="C1629" s="163"/>
      <c r="D1629" s="164"/>
      <c r="E1629" s="165"/>
      <c r="F1629" s="165"/>
      <c r="G1629" s="165"/>
      <c r="H1629" s="165"/>
      <c r="I1629" s="165"/>
      <c r="J1629" s="165"/>
      <c r="K1629" s="165"/>
      <c r="L1629" s="165"/>
      <c r="M1629" s="165"/>
      <c r="N1629" s="165"/>
      <c r="O1629" s="166"/>
    </row>
    <row r="1630" ht="1.5" customHeight="1">
      <c r="A1630" s="155"/>
      <c r="B1630" s="156"/>
      <c r="C1630" s="157"/>
      <c r="D1630" s="158"/>
      <c r="E1630" s="159"/>
      <c r="F1630" s="159"/>
      <c r="G1630" s="159"/>
      <c r="H1630" s="159"/>
      <c r="I1630" s="159"/>
      <c r="J1630" s="159"/>
      <c r="K1630" s="159"/>
      <c r="L1630" s="159"/>
      <c r="M1630" s="159"/>
      <c r="N1630" s="159"/>
      <c r="O1630" s="160"/>
    </row>
    <row r="1631" ht="1.5" customHeight="1">
      <c r="A1631" s="161"/>
      <c r="B1631" s="162"/>
      <c r="C1631" s="163"/>
      <c r="D1631" s="164"/>
      <c r="E1631" s="165"/>
      <c r="F1631" s="165"/>
      <c r="G1631" s="165"/>
      <c r="H1631" s="165"/>
      <c r="I1631" s="165"/>
      <c r="J1631" s="165"/>
      <c r="K1631" s="165"/>
      <c r="L1631" s="165"/>
      <c r="M1631" s="165"/>
      <c r="N1631" s="165"/>
      <c r="O1631" s="166"/>
    </row>
    <row r="1632" ht="1.5" customHeight="1">
      <c r="A1632" s="155"/>
      <c r="B1632" s="156"/>
      <c r="C1632" s="157"/>
      <c r="D1632" s="158"/>
      <c r="E1632" s="159"/>
      <c r="F1632" s="159"/>
      <c r="G1632" s="159"/>
      <c r="H1632" s="159"/>
      <c r="I1632" s="159"/>
      <c r="J1632" s="159"/>
      <c r="K1632" s="159"/>
      <c r="L1632" s="159"/>
      <c r="M1632" s="159"/>
      <c r="N1632" s="159"/>
      <c r="O1632" s="160"/>
    </row>
    <row r="1633" ht="1.5" customHeight="1">
      <c r="A1633" s="161"/>
      <c r="B1633" s="162"/>
      <c r="C1633" s="163"/>
      <c r="D1633" s="164"/>
      <c r="E1633" s="165"/>
      <c r="F1633" s="165"/>
      <c r="G1633" s="165"/>
      <c r="H1633" s="165"/>
      <c r="I1633" s="165"/>
      <c r="J1633" s="165"/>
      <c r="K1633" s="165"/>
      <c r="L1633" s="165"/>
      <c r="M1633" s="165"/>
      <c r="N1633" s="165"/>
      <c r="O1633" s="166"/>
    </row>
    <row r="1634" ht="1.5" customHeight="1">
      <c r="A1634" s="155"/>
      <c r="B1634" s="156"/>
      <c r="C1634" s="157"/>
      <c r="D1634" s="158"/>
      <c r="E1634" s="159"/>
      <c r="F1634" s="159"/>
      <c r="G1634" s="159"/>
      <c r="H1634" s="159"/>
      <c r="I1634" s="159"/>
      <c r="J1634" s="159"/>
      <c r="K1634" s="159"/>
      <c r="L1634" s="159"/>
      <c r="M1634" s="159"/>
      <c r="N1634" s="159"/>
      <c r="O1634" s="160"/>
    </row>
    <row r="1635" ht="1.5" customHeight="1">
      <c r="A1635" s="161"/>
      <c r="B1635" s="162"/>
      <c r="C1635" s="163"/>
      <c r="D1635" s="164"/>
      <c r="E1635" s="165"/>
      <c r="F1635" s="165"/>
      <c r="G1635" s="165"/>
      <c r="H1635" s="165"/>
      <c r="I1635" s="165"/>
      <c r="J1635" s="165"/>
      <c r="K1635" s="165"/>
      <c r="L1635" s="165"/>
      <c r="M1635" s="165"/>
      <c r="N1635" s="165"/>
      <c r="O1635" s="166"/>
    </row>
    <row r="1636" ht="1.5" customHeight="1">
      <c r="A1636" s="155"/>
      <c r="B1636" s="156"/>
      <c r="C1636" s="157"/>
      <c r="D1636" s="158"/>
      <c r="E1636" s="159"/>
      <c r="F1636" s="159"/>
      <c r="G1636" s="159"/>
      <c r="H1636" s="159"/>
      <c r="I1636" s="159"/>
      <c r="J1636" s="159"/>
      <c r="K1636" s="159"/>
      <c r="L1636" s="159"/>
      <c r="M1636" s="159"/>
      <c r="N1636" s="159"/>
      <c r="O1636" s="160"/>
    </row>
    <row r="1637" ht="1.5" customHeight="1">
      <c r="A1637" s="161"/>
      <c r="B1637" s="162"/>
      <c r="C1637" s="163"/>
      <c r="D1637" s="164"/>
      <c r="E1637" s="165"/>
      <c r="F1637" s="165"/>
      <c r="G1637" s="165"/>
      <c r="H1637" s="165"/>
      <c r="I1637" s="165"/>
      <c r="J1637" s="165"/>
      <c r="K1637" s="165"/>
      <c r="L1637" s="165"/>
      <c r="M1637" s="165"/>
      <c r="N1637" s="165"/>
      <c r="O1637" s="166"/>
    </row>
    <row r="1638" ht="1.5" customHeight="1">
      <c r="A1638" s="155"/>
      <c r="B1638" s="156"/>
      <c r="C1638" s="157"/>
      <c r="D1638" s="158"/>
      <c r="E1638" s="159"/>
      <c r="F1638" s="159"/>
      <c r="G1638" s="159"/>
      <c r="H1638" s="159"/>
      <c r="I1638" s="159"/>
      <c r="J1638" s="159"/>
      <c r="K1638" s="159"/>
      <c r="L1638" s="159"/>
      <c r="M1638" s="159"/>
      <c r="N1638" s="159"/>
      <c r="O1638" s="160"/>
    </row>
    <row r="1639" ht="1.5" customHeight="1">
      <c r="A1639" s="161"/>
      <c r="B1639" s="162"/>
      <c r="C1639" s="163"/>
      <c r="D1639" s="164"/>
      <c r="E1639" s="165"/>
      <c r="F1639" s="165"/>
      <c r="G1639" s="165"/>
      <c r="H1639" s="165"/>
      <c r="I1639" s="165"/>
      <c r="J1639" s="165"/>
      <c r="K1639" s="165"/>
      <c r="L1639" s="165"/>
      <c r="M1639" s="165"/>
      <c r="N1639" s="165"/>
      <c r="O1639" s="166"/>
    </row>
    <row r="1640" ht="1.5" customHeight="1">
      <c r="A1640" s="155"/>
      <c r="B1640" s="156"/>
      <c r="C1640" s="157"/>
      <c r="D1640" s="158"/>
      <c r="E1640" s="159"/>
      <c r="F1640" s="159"/>
      <c r="G1640" s="159"/>
      <c r="H1640" s="159"/>
      <c r="I1640" s="159"/>
      <c r="J1640" s="159"/>
      <c r="K1640" s="159"/>
      <c r="L1640" s="159"/>
      <c r="M1640" s="159"/>
      <c r="N1640" s="159"/>
      <c r="O1640" s="160"/>
    </row>
    <row r="1641" ht="1.5" customHeight="1">
      <c r="A1641" s="161"/>
      <c r="B1641" s="162"/>
      <c r="C1641" s="163"/>
      <c r="D1641" s="164"/>
      <c r="E1641" s="165"/>
      <c r="F1641" s="165"/>
      <c r="G1641" s="165"/>
      <c r="H1641" s="165"/>
      <c r="I1641" s="165"/>
      <c r="J1641" s="165"/>
      <c r="K1641" s="165"/>
      <c r="L1641" s="165"/>
      <c r="M1641" s="165"/>
      <c r="N1641" s="165"/>
      <c r="O1641" s="166"/>
    </row>
    <row r="1642" ht="1.5" customHeight="1">
      <c r="A1642" s="155"/>
      <c r="B1642" s="156"/>
      <c r="C1642" s="157"/>
      <c r="D1642" s="158"/>
      <c r="E1642" s="159"/>
      <c r="F1642" s="159"/>
      <c r="G1642" s="159"/>
      <c r="H1642" s="159"/>
      <c r="I1642" s="159"/>
      <c r="J1642" s="159"/>
      <c r="K1642" s="159"/>
      <c r="L1642" s="159"/>
      <c r="M1642" s="159"/>
      <c r="N1642" s="159"/>
      <c r="O1642" s="160"/>
    </row>
    <row r="1643" ht="1.5" customHeight="1">
      <c r="A1643" s="161"/>
      <c r="B1643" s="162"/>
      <c r="C1643" s="163"/>
      <c r="D1643" s="164"/>
      <c r="E1643" s="165"/>
      <c r="F1643" s="165"/>
      <c r="G1643" s="165"/>
      <c r="H1643" s="165"/>
      <c r="I1643" s="165"/>
      <c r="J1643" s="165"/>
      <c r="K1643" s="165"/>
      <c r="L1643" s="165"/>
      <c r="M1643" s="165"/>
      <c r="N1643" s="165"/>
      <c r="O1643" s="166"/>
    </row>
    <row r="1644" ht="1.5" customHeight="1">
      <c r="A1644" s="155"/>
      <c r="B1644" s="156"/>
      <c r="C1644" s="157"/>
      <c r="D1644" s="158"/>
      <c r="E1644" s="159"/>
      <c r="F1644" s="159"/>
      <c r="G1644" s="159"/>
      <c r="H1644" s="159"/>
      <c r="I1644" s="159"/>
      <c r="J1644" s="159"/>
      <c r="K1644" s="159"/>
      <c r="L1644" s="159"/>
      <c r="M1644" s="159"/>
      <c r="N1644" s="159"/>
      <c r="O1644" s="160"/>
    </row>
    <row r="1645" ht="1.5" customHeight="1">
      <c r="A1645" s="161"/>
      <c r="B1645" s="162"/>
      <c r="C1645" s="163"/>
      <c r="D1645" s="164"/>
      <c r="E1645" s="165"/>
      <c r="F1645" s="165"/>
      <c r="G1645" s="165"/>
      <c r="H1645" s="165"/>
      <c r="I1645" s="165"/>
      <c r="J1645" s="165"/>
      <c r="K1645" s="165"/>
      <c r="L1645" s="165"/>
      <c r="M1645" s="165"/>
      <c r="N1645" s="165"/>
      <c r="O1645" s="166"/>
    </row>
    <row r="1646" ht="1.5" customHeight="1">
      <c r="A1646" s="155"/>
      <c r="B1646" s="156"/>
      <c r="C1646" s="157"/>
      <c r="D1646" s="158"/>
      <c r="E1646" s="159"/>
      <c r="F1646" s="159"/>
      <c r="G1646" s="159"/>
      <c r="H1646" s="159"/>
      <c r="I1646" s="159"/>
      <c r="J1646" s="159"/>
      <c r="K1646" s="159"/>
      <c r="L1646" s="159"/>
      <c r="M1646" s="159"/>
      <c r="N1646" s="159"/>
      <c r="O1646" s="160"/>
    </row>
    <row r="1647" ht="1.5" customHeight="1">
      <c r="A1647" s="161"/>
      <c r="B1647" s="162"/>
      <c r="C1647" s="163"/>
      <c r="D1647" s="164"/>
      <c r="E1647" s="165"/>
      <c r="F1647" s="165"/>
      <c r="G1647" s="165"/>
      <c r="H1647" s="165"/>
      <c r="I1647" s="165"/>
      <c r="J1647" s="165"/>
      <c r="K1647" s="165"/>
      <c r="L1647" s="165"/>
      <c r="M1647" s="165"/>
      <c r="N1647" s="165"/>
      <c r="O1647" s="166"/>
    </row>
    <row r="1648" ht="1.5" customHeight="1">
      <c r="A1648" s="155"/>
      <c r="B1648" s="156"/>
      <c r="C1648" s="157"/>
      <c r="D1648" s="158"/>
      <c r="E1648" s="159"/>
      <c r="F1648" s="159"/>
      <c r="G1648" s="159"/>
      <c r="H1648" s="159"/>
      <c r="I1648" s="159"/>
      <c r="J1648" s="159"/>
      <c r="K1648" s="159"/>
      <c r="L1648" s="159"/>
      <c r="M1648" s="159"/>
      <c r="N1648" s="159"/>
      <c r="O1648" s="160"/>
    </row>
    <row r="1649" ht="1.5" customHeight="1">
      <c r="A1649" s="161"/>
      <c r="B1649" s="162"/>
      <c r="C1649" s="163"/>
      <c r="D1649" s="164"/>
      <c r="E1649" s="165"/>
      <c r="F1649" s="165"/>
      <c r="G1649" s="165"/>
      <c r="H1649" s="165"/>
      <c r="I1649" s="165"/>
      <c r="J1649" s="165"/>
      <c r="K1649" s="165"/>
      <c r="L1649" s="165"/>
      <c r="M1649" s="165"/>
      <c r="N1649" s="165"/>
      <c r="O1649" s="166"/>
    </row>
    <row r="1650" ht="1.5" customHeight="1">
      <c r="A1650" s="155"/>
      <c r="B1650" s="156"/>
      <c r="C1650" s="157"/>
      <c r="D1650" s="158"/>
      <c r="E1650" s="159"/>
      <c r="F1650" s="159"/>
      <c r="G1650" s="159"/>
      <c r="H1650" s="159"/>
      <c r="I1650" s="159"/>
      <c r="J1650" s="159"/>
      <c r="K1650" s="159"/>
      <c r="L1650" s="159"/>
      <c r="M1650" s="159"/>
      <c r="N1650" s="159"/>
      <c r="O1650" s="160"/>
    </row>
    <row r="1651" ht="1.5" customHeight="1">
      <c r="A1651" s="161"/>
      <c r="B1651" s="162"/>
      <c r="C1651" s="163"/>
      <c r="D1651" s="164"/>
      <c r="E1651" s="165"/>
      <c r="F1651" s="165"/>
      <c r="G1651" s="165"/>
      <c r="H1651" s="165"/>
      <c r="I1651" s="165"/>
      <c r="J1651" s="165"/>
      <c r="K1651" s="165"/>
      <c r="L1651" s="165"/>
      <c r="M1651" s="165"/>
      <c r="N1651" s="165"/>
      <c r="O1651" s="166"/>
    </row>
    <row r="1652" ht="1.5" customHeight="1">
      <c r="A1652" s="155"/>
      <c r="B1652" s="156"/>
      <c r="C1652" s="157"/>
      <c r="D1652" s="158"/>
      <c r="E1652" s="159"/>
      <c r="F1652" s="159"/>
      <c r="G1652" s="159"/>
      <c r="H1652" s="159"/>
      <c r="I1652" s="159"/>
      <c r="J1652" s="159"/>
      <c r="K1652" s="159"/>
      <c r="L1652" s="159"/>
      <c r="M1652" s="159"/>
      <c r="N1652" s="159"/>
      <c r="O1652" s="160"/>
    </row>
    <row r="1653" ht="1.5" customHeight="1">
      <c r="A1653" s="161"/>
      <c r="B1653" s="162"/>
      <c r="C1653" s="163"/>
      <c r="D1653" s="164"/>
      <c r="E1653" s="165"/>
      <c r="F1653" s="165"/>
      <c r="G1653" s="165"/>
      <c r="H1653" s="165"/>
      <c r="I1653" s="165"/>
      <c r="J1653" s="165"/>
      <c r="K1653" s="165"/>
      <c r="L1653" s="165"/>
      <c r="M1653" s="165"/>
      <c r="N1653" s="165"/>
      <c r="O1653" s="166"/>
    </row>
    <row r="1654" ht="1.5" customHeight="1">
      <c r="A1654" s="155"/>
      <c r="B1654" s="156"/>
      <c r="C1654" s="157"/>
      <c r="D1654" s="158"/>
      <c r="E1654" s="159"/>
      <c r="F1654" s="159"/>
      <c r="G1654" s="159"/>
      <c r="H1654" s="159"/>
      <c r="I1654" s="159"/>
      <c r="J1654" s="159"/>
      <c r="K1654" s="159"/>
      <c r="L1654" s="159"/>
      <c r="M1654" s="159"/>
      <c r="N1654" s="159"/>
      <c r="O1654" s="160"/>
    </row>
    <row r="1655" ht="1.5" customHeight="1">
      <c r="A1655" s="161"/>
      <c r="B1655" s="162"/>
      <c r="C1655" s="163"/>
      <c r="D1655" s="164"/>
      <c r="E1655" s="165"/>
      <c r="F1655" s="165"/>
      <c r="G1655" s="165"/>
      <c r="H1655" s="165"/>
      <c r="I1655" s="165"/>
      <c r="J1655" s="165"/>
      <c r="K1655" s="165"/>
      <c r="L1655" s="165"/>
      <c r="M1655" s="165"/>
      <c r="N1655" s="165"/>
      <c r="O1655" s="166"/>
    </row>
    <row r="1656" ht="1.5" customHeight="1">
      <c r="A1656" s="155"/>
      <c r="B1656" s="156"/>
      <c r="C1656" s="157"/>
      <c r="D1656" s="158"/>
      <c r="E1656" s="159"/>
      <c r="F1656" s="159"/>
      <c r="G1656" s="159"/>
      <c r="H1656" s="159"/>
      <c r="I1656" s="159"/>
      <c r="J1656" s="159"/>
      <c r="K1656" s="159"/>
      <c r="L1656" s="159"/>
      <c r="M1656" s="159"/>
      <c r="N1656" s="159"/>
      <c r="O1656" s="160"/>
    </row>
    <row r="1657" ht="1.5" customHeight="1">
      <c r="A1657" s="161"/>
      <c r="B1657" s="162"/>
      <c r="C1657" s="163"/>
      <c r="D1657" s="164"/>
      <c r="E1657" s="165"/>
      <c r="F1657" s="165"/>
      <c r="G1657" s="165"/>
      <c r="H1657" s="165"/>
      <c r="I1657" s="165"/>
      <c r="J1657" s="165"/>
      <c r="K1657" s="165"/>
      <c r="L1657" s="165"/>
      <c r="M1657" s="165"/>
      <c r="N1657" s="165"/>
      <c r="O1657" s="166"/>
    </row>
    <row r="1658" ht="1.5" customHeight="1">
      <c r="A1658" s="155"/>
      <c r="B1658" s="156"/>
      <c r="C1658" s="157"/>
      <c r="D1658" s="158"/>
      <c r="E1658" s="159"/>
      <c r="F1658" s="159"/>
      <c r="G1658" s="159"/>
      <c r="H1658" s="159"/>
      <c r="I1658" s="159"/>
      <c r="J1658" s="159"/>
      <c r="K1658" s="159"/>
      <c r="L1658" s="159"/>
      <c r="M1658" s="159"/>
      <c r="N1658" s="159"/>
      <c r="O1658" s="160"/>
    </row>
    <row r="1659" ht="1.5" customHeight="1">
      <c r="A1659" s="161"/>
      <c r="B1659" s="162"/>
      <c r="C1659" s="163"/>
      <c r="D1659" s="164"/>
      <c r="E1659" s="165"/>
      <c r="F1659" s="165"/>
      <c r="G1659" s="165"/>
      <c r="H1659" s="165"/>
      <c r="I1659" s="165"/>
      <c r="J1659" s="165"/>
      <c r="K1659" s="165"/>
      <c r="L1659" s="165"/>
      <c r="M1659" s="165"/>
      <c r="N1659" s="165"/>
      <c r="O1659" s="166"/>
    </row>
    <row r="1660" ht="1.5" customHeight="1">
      <c r="A1660" s="155"/>
      <c r="B1660" s="156"/>
      <c r="C1660" s="157"/>
      <c r="D1660" s="158"/>
      <c r="E1660" s="159"/>
      <c r="F1660" s="159"/>
      <c r="G1660" s="159"/>
      <c r="H1660" s="159"/>
      <c r="I1660" s="159"/>
      <c r="J1660" s="159"/>
      <c r="K1660" s="159"/>
      <c r="L1660" s="159"/>
      <c r="M1660" s="159"/>
      <c r="N1660" s="159"/>
      <c r="O1660" s="160"/>
    </row>
    <row r="1661" ht="1.5" customHeight="1">
      <c r="A1661" s="161"/>
      <c r="B1661" s="162"/>
      <c r="C1661" s="163"/>
      <c r="D1661" s="164"/>
      <c r="E1661" s="165"/>
      <c r="F1661" s="165"/>
      <c r="G1661" s="165"/>
      <c r="H1661" s="165"/>
      <c r="I1661" s="165"/>
      <c r="J1661" s="165"/>
      <c r="K1661" s="165"/>
      <c r="L1661" s="165"/>
      <c r="M1661" s="165"/>
      <c r="N1661" s="165"/>
      <c r="O1661" s="166"/>
    </row>
    <row r="1662" ht="1.5" customHeight="1">
      <c r="A1662" s="155"/>
      <c r="B1662" s="156"/>
      <c r="C1662" s="157"/>
      <c r="D1662" s="158"/>
      <c r="E1662" s="159"/>
      <c r="F1662" s="159"/>
      <c r="G1662" s="159"/>
      <c r="H1662" s="159"/>
      <c r="I1662" s="159"/>
      <c r="J1662" s="159"/>
      <c r="K1662" s="159"/>
      <c r="L1662" s="159"/>
      <c r="M1662" s="159"/>
      <c r="N1662" s="159"/>
      <c r="O1662" s="160"/>
    </row>
    <row r="1663" ht="1.5" customHeight="1">
      <c r="A1663" s="161"/>
      <c r="B1663" s="162"/>
      <c r="C1663" s="163"/>
      <c r="D1663" s="164"/>
      <c r="E1663" s="165"/>
      <c r="F1663" s="165"/>
      <c r="G1663" s="165"/>
      <c r="H1663" s="165"/>
      <c r="I1663" s="165"/>
      <c r="J1663" s="165"/>
      <c r="K1663" s="165"/>
      <c r="L1663" s="165"/>
      <c r="M1663" s="165"/>
      <c r="N1663" s="165"/>
      <c r="O1663" s="166"/>
    </row>
    <row r="1664" ht="1.5" customHeight="1">
      <c r="A1664" s="155"/>
      <c r="B1664" s="156"/>
      <c r="C1664" s="157"/>
      <c r="D1664" s="158"/>
      <c r="E1664" s="159"/>
      <c r="F1664" s="159"/>
      <c r="G1664" s="159"/>
      <c r="H1664" s="159"/>
      <c r="I1664" s="159"/>
      <c r="J1664" s="159"/>
      <c r="K1664" s="159"/>
      <c r="L1664" s="159"/>
      <c r="M1664" s="159"/>
      <c r="N1664" s="159"/>
      <c r="O1664" s="160"/>
    </row>
    <row r="1665" ht="1.5" customHeight="1">
      <c r="A1665" s="161"/>
      <c r="B1665" s="162"/>
      <c r="C1665" s="163"/>
      <c r="D1665" s="164"/>
      <c r="E1665" s="165"/>
      <c r="F1665" s="165"/>
      <c r="G1665" s="165"/>
      <c r="H1665" s="165"/>
      <c r="I1665" s="165"/>
      <c r="J1665" s="165"/>
      <c r="K1665" s="165"/>
      <c r="L1665" s="165"/>
      <c r="M1665" s="165"/>
      <c r="N1665" s="165"/>
      <c r="O1665" s="166"/>
    </row>
    <row r="1666" ht="1.5" customHeight="1">
      <c r="A1666" s="155"/>
      <c r="B1666" s="156"/>
      <c r="C1666" s="157"/>
      <c r="D1666" s="158"/>
      <c r="E1666" s="159"/>
      <c r="F1666" s="159"/>
      <c r="G1666" s="159"/>
      <c r="H1666" s="159"/>
      <c r="I1666" s="159"/>
      <c r="J1666" s="159"/>
      <c r="K1666" s="159"/>
      <c r="L1666" s="159"/>
      <c r="M1666" s="159"/>
      <c r="N1666" s="159"/>
      <c r="O1666" s="160"/>
    </row>
    <row r="1667" ht="1.5" customHeight="1">
      <c r="A1667" s="161"/>
      <c r="B1667" s="162"/>
      <c r="C1667" s="163"/>
      <c r="D1667" s="164"/>
      <c r="E1667" s="165"/>
      <c r="F1667" s="165"/>
      <c r="G1667" s="165"/>
      <c r="H1667" s="165"/>
      <c r="I1667" s="165"/>
      <c r="J1667" s="165"/>
      <c r="K1667" s="165"/>
      <c r="L1667" s="165"/>
      <c r="M1667" s="165"/>
      <c r="N1667" s="165"/>
      <c r="O1667" s="166"/>
    </row>
    <row r="1668" ht="1.5" customHeight="1">
      <c r="A1668" s="155"/>
      <c r="B1668" s="156"/>
      <c r="C1668" s="157"/>
      <c r="D1668" s="158"/>
      <c r="E1668" s="159"/>
      <c r="F1668" s="159"/>
      <c r="G1668" s="159"/>
      <c r="H1668" s="159"/>
      <c r="I1668" s="159"/>
      <c r="J1668" s="159"/>
      <c r="K1668" s="159"/>
      <c r="L1668" s="159"/>
      <c r="M1668" s="159"/>
      <c r="N1668" s="159"/>
      <c r="O1668" s="160"/>
    </row>
    <row r="1669" ht="1.5" customHeight="1">
      <c r="A1669" s="161"/>
      <c r="B1669" s="162"/>
      <c r="C1669" s="163"/>
      <c r="D1669" s="164"/>
      <c r="E1669" s="165"/>
      <c r="F1669" s="165"/>
      <c r="G1669" s="165"/>
      <c r="H1669" s="165"/>
      <c r="I1669" s="165"/>
      <c r="J1669" s="165"/>
      <c r="K1669" s="165"/>
      <c r="L1669" s="165"/>
      <c r="M1669" s="165"/>
      <c r="N1669" s="165"/>
      <c r="O1669" s="166"/>
    </row>
    <row r="1670" ht="1.5" customHeight="1">
      <c r="A1670" s="155"/>
      <c r="B1670" s="156"/>
      <c r="C1670" s="157"/>
      <c r="D1670" s="158"/>
      <c r="E1670" s="159"/>
      <c r="F1670" s="159"/>
      <c r="G1670" s="159"/>
      <c r="H1670" s="159"/>
      <c r="I1670" s="159"/>
      <c r="J1670" s="159"/>
      <c r="K1670" s="159"/>
      <c r="L1670" s="159"/>
      <c r="M1670" s="159"/>
      <c r="N1670" s="159"/>
      <c r="O1670" s="160"/>
    </row>
    <row r="1671" ht="1.5" customHeight="1">
      <c r="A1671" s="161"/>
      <c r="B1671" s="162"/>
      <c r="C1671" s="163"/>
      <c r="D1671" s="164"/>
      <c r="E1671" s="165"/>
      <c r="F1671" s="165"/>
      <c r="G1671" s="165"/>
      <c r="H1671" s="165"/>
      <c r="I1671" s="165"/>
      <c r="J1671" s="165"/>
      <c r="K1671" s="165"/>
      <c r="L1671" s="165"/>
      <c r="M1671" s="165"/>
      <c r="N1671" s="165"/>
      <c r="O1671" s="166"/>
    </row>
    <row r="1672" ht="1.5" customHeight="1">
      <c r="A1672" s="155"/>
      <c r="B1672" s="156"/>
      <c r="C1672" s="157"/>
      <c r="D1672" s="158"/>
      <c r="E1672" s="159"/>
      <c r="F1672" s="159"/>
      <c r="G1672" s="159"/>
      <c r="H1672" s="159"/>
      <c r="I1672" s="159"/>
      <c r="J1672" s="159"/>
      <c r="K1672" s="159"/>
      <c r="L1672" s="159"/>
      <c r="M1672" s="159"/>
      <c r="N1672" s="159"/>
      <c r="O1672" s="160"/>
    </row>
    <row r="1673" ht="1.5" customHeight="1">
      <c r="A1673" s="161"/>
      <c r="B1673" s="162"/>
      <c r="C1673" s="163"/>
      <c r="D1673" s="164"/>
      <c r="E1673" s="165"/>
      <c r="F1673" s="165"/>
      <c r="G1673" s="165"/>
      <c r="H1673" s="165"/>
      <c r="I1673" s="165"/>
      <c r="J1673" s="165"/>
      <c r="K1673" s="165"/>
      <c r="L1673" s="165"/>
      <c r="M1673" s="165"/>
      <c r="N1673" s="165"/>
      <c r="O1673" s="166"/>
    </row>
    <row r="1674" ht="1.5" customHeight="1">
      <c r="A1674" s="155"/>
      <c r="B1674" s="156"/>
      <c r="C1674" s="157"/>
      <c r="D1674" s="158"/>
      <c r="E1674" s="159"/>
      <c r="F1674" s="159"/>
      <c r="G1674" s="159"/>
      <c r="H1674" s="159"/>
      <c r="I1674" s="159"/>
      <c r="J1674" s="159"/>
      <c r="K1674" s="159"/>
      <c r="L1674" s="159"/>
      <c r="M1674" s="159"/>
      <c r="N1674" s="159"/>
      <c r="O1674" s="160"/>
    </row>
    <row r="1675" ht="1.5" customHeight="1">
      <c r="A1675" s="161"/>
      <c r="B1675" s="162"/>
      <c r="C1675" s="163"/>
      <c r="D1675" s="164"/>
      <c r="E1675" s="165"/>
      <c r="F1675" s="165"/>
      <c r="G1675" s="165"/>
      <c r="H1675" s="165"/>
      <c r="I1675" s="165"/>
      <c r="J1675" s="165"/>
      <c r="K1675" s="165"/>
      <c r="L1675" s="165"/>
      <c r="M1675" s="165"/>
      <c r="N1675" s="165"/>
      <c r="O1675" s="166"/>
    </row>
    <row r="1676" ht="1.5" customHeight="1">
      <c r="A1676" s="155"/>
      <c r="B1676" s="156"/>
      <c r="C1676" s="157"/>
      <c r="D1676" s="158"/>
      <c r="E1676" s="159"/>
      <c r="F1676" s="159"/>
      <c r="G1676" s="159"/>
      <c r="H1676" s="159"/>
      <c r="I1676" s="159"/>
      <c r="J1676" s="159"/>
      <c r="K1676" s="159"/>
      <c r="L1676" s="159"/>
      <c r="M1676" s="159"/>
      <c r="N1676" s="159"/>
      <c r="O1676" s="160"/>
    </row>
    <row r="1677" ht="1.5" customHeight="1">
      <c r="A1677" s="161"/>
      <c r="B1677" s="162"/>
      <c r="C1677" s="163"/>
      <c r="D1677" s="164"/>
      <c r="E1677" s="165"/>
      <c r="F1677" s="165"/>
      <c r="G1677" s="165"/>
      <c r="H1677" s="165"/>
      <c r="I1677" s="165"/>
      <c r="J1677" s="165"/>
      <c r="K1677" s="165"/>
      <c r="L1677" s="165"/>
      <c r="M1677" s="165"/>
      <c r="N1677" s="165"/>
      <c r="O1677" s="166"/>
    </row>
    <row r="1678" ht="1.5" customHeight="1">
      <c r="A1678" s="155"/>
      <c r="B1678" s="156"/>
      <c r="C1678" s="157"/>
      <c r="D1678" s="158"/>
      <c r="E1678" s="159"/>
      <c r="F1678" s="159"/>
      <c r="G1678" s="159"/>
      <c r="H1678" s="159"/>
      <c r="I1678" s="159"/>
      <c r="J1678" s="159"/>
      <c r="K1678" s="159"/>
      <c r="L1678" s="159"/>
      <c r="M1678" s="159"/>
      <c r="N1678" s="159"/>
      <c r="O1678" s="160"/>
    </row>
    <row r="1679" ht="1.5" customHeight="1">
      <c r="A1679" s="161"/>
      <c r="B1679" s="162"/>
      <c r="C1679" s="163"/>
      <c r="D1679" s="164"/>
      <c r="E1679" s="165"/>
      <c r="F1679" s="165"/>
      <c r="G1679" s="165"/>
      <c r="H1679" s="165"/>
      <c r="I1679" s="165"/>
      <c r="J1679" s="165"/>
      <c r="K1679" s="165"/>
      <c r="L1679" s="165"/>
      <c r="M1679" s="165"/>
      <c r="N1679" s="165"/>
      <c r="O1679" s="166"/>
    </row>
    <row r="1680" ht="1.5" customHeight="1">
      <c r="A1680" s="155"/>
      <c r="B1680" s="156"/>
      <c r="C1680" s="157"/>
      <c r="D1680" s="158"/>
      <c r="E1680" s="159"/>
      <c r="F1680" s="159"/>
      <c r="G1680" s="159"/>
      <c r="H1680" s="159"/>
      <c r="I1680" s="159"/>
      <c r="J1680" s="159"/>
      <c r="K1680" s="159"/>
      <c r="L1680" s="159"/>
      <c r="M1680" s="159"/>
      <c r="N1680" s="159"/>
      <c r="O1680" s="160"/>
    </row>
    <row r="1681" ht="1.5" customHeight="1">
      <c r="A1681" s="161"/>
      <c r="B1681" s="162"/>
      <c r="C1681" s="163"/>
      <c r="D1681" s="164"/>
      <c r="E1681" s="165"/>
      <c r="F1681" s="165"/>
      <c r="G1681" s="165"/>
      <c r="H1681" s="165"/>
      <c r="I1681" s="165"/>
      <c r="J1681" s="165"/>
      <c r="K1681" s="165"/>
      <c r="L1681" s="165"/>
      <c r="M1681" s="165"/>
      <c r="N1681" s="165"/>
      <c r="O1681" s="166"/>
    </row>
    <row r="1682" ht="1.5" customHeight="1">
      <c r="A1682" s="155"/>
      <c r="B1682" s="156"/>
      <c r="C1682" s="157"/>
      <c r="D1682" s="158"/>
      <c r="E1682" s="159"/>
      <c r="F1682" s="159"/>
      <c r="G1682" s="159"/>
      <c r="H1682" s="159"/>
      <c r="I1682" s="159"/>
      <c r="J1682" s="159"/>
      <c r="K1682" s="159"/>
      <c r="L1682" s="159"/>
      <c r="M1682" s="159"/>
      <c r="N1682" s="159"/>
      <c r="O1682" s="160"/>
    </row>
    <row r="1683" ht="1.5" customHeight="1">
      <c r="A1683" s="161"/>
      <c r="B1683" s="162"/>
      <c r="C1683" s="163"/>
      <c r="D1683" s="164"/>
      <c r="E1683" s="165"/>
      <c r="F1683" s="165"/>
      <c r="G1683" s="165"/>
      <c r="H1683" s="165"/>
      <c r="I1683" s="165"/>
      <c r="J1683" s="165"/>
      <c r="K1683" s="165"/>
      <c r="L1683" s="165"/>
      <c r="M1683" s="165"/>
      <c r="N1683" s="165"/>
      <c r="O1683" s="166"/>
    </row>
    <row r="1684" ht="1.5" customHeight="1">
      <c r="A1684" s="155"/>
      <c r="B1684" s="156"/>
      <c r="C1684" s="157"/>
      <c r="D1684" s="158"/>
      <c r="E1684" s="159"/>
      <c r="F1684" s="159"/>
      <c r="G1684" s="159"/>
      <c r="H1684" s="159"/>
      <c r="I1684" s="159"/>
      <c r="J1684" s="159"/>
      <c r="K1684" s="159"/>
      <c r="L1684" s="159"/>
      <c r="M1684" s="159"/>
      <c r="N1684" s="159"/>
      <c r="O1684" s="160"/>
    </row>
    <row r="1685" ht="1.5" customHeight="1">
      <c r="A1685" s="161"/>
      <c r="B1685" s="162"/>
      <c r="C1685" s="163"/>
      <c r="D1685" s="164"/>
      <c r="E1685" s="165"/>
      <c r="F1685" s="165"/>
      <c r="G1685" s="165"/>
      <c r="H1685" s="165"/>
      <c r="I1685" s="165"/>
      <c r="J1685" s="165"/>
      <c r="K1685" s="165"/>
      <c r="L1685" s="165"/>
      <c r="M1685" s="165"/>
      <c r="N1685" s="165"/>
      <c r="O1685" s="166"/>
    </row>
    <row r="1686" ht="1.5" customHeight="1">
      <c r="A1686" s="155"/>
      <c r="B1686" s="156"/>
      <c r="C1686" s="157"/>
      <c r="D1686" s="158"/>
      <c r="E1686" s="159"/>
      <c r="F1686" s="159"/>
      <c r="G1686" s="159"/>
      <c r="H1686" s="159"/>
      <c r="I1686" s="159"/>
      <c r="J1686" s="159"/>
      <c r="K1686" s="159"/>
      <c r="L1686" s="159"/>
      <c r="M1686" s="159"/>
      <c r="N1686" s="159"/>
      <c r="O1686" s="160"/>
    </row>
    <row r="1687" ht="1.5" customHeight="1">
      <c r="A1687" s="161"/>
      <c r="B1687" s="162"/>
      <c r="C1687" s="163"/>
      <c r="D1687" s="164"/>
      <c r="E1687" s="165"/>
      <c r="F1687" s="165"/>
      <c r="G1687" s="165"/>
      <c r="H1687" s="165"/>
      <c r="I1687" s="165"/>
      <c r="J1687" s="165"/>
      <c r="K1687" s="165"/>
      <c r="L1687" s="165"/>
      <c r="M1687" s="165"/>
      <c r="N1687" s="165"/>
      <c r="O1687" s="166"/>
    </row>
    <row r="1688" ht="1.5" customHeight="1">
      <c r="A1688" s="155"/>
      <c r="B1688" s="156"/>
      <c r="C1688" s="157"/>
      <c r="D1688" s="158"/>
      <c r="E1688" s="159"/>
      <c r="F1688" s="159"/>
      <c r="G1688" s="159"/>
      <c r="H1688" s="159"/>
      <c r="I1688" s="159"/>
      <c r="J1688" s="159"/>
      <c r="K1688" s="159"/>
      <c r="L1688" s="159"/>
      <c r="M1688" s="159"/>
      <c r="N1688" s="159"/>
      <c r="O1688" s="160"/>
    </row>
    <row r="1689" ht="1.5" customHeight="1">
      <c r="A1689" s="161"/>
      <c r="B1689" s="162"/>
      <c r="C1689" s="163"/>
      <c r="D1689" s="164"/>
      <c r="E1689" s="165"/>
      <c r="F1689" s="165"/>
      <c r="G1689" s="165"/>
      <c r="H1689" s="165"/>
      <c r="I1689" s="165"/>
      <c r="J1689" s="165"/>
      <c r="K1689" s="165"/>
      <c r="L1689" s="165"/>
      <c r="M1689" s="165"/>
      <c r="N1689" s="165"/>
      <c r="O1689" s="166"/>
    </row>
    <row r="1690" ht="1.5" customHeight="1">
      <c r="A1690" s="155"/>
      <c r="B1690" s="156"/>
      <c r="C1690" s="157"/>
      <c r="D1690" s="158"/>
      <c r="E1690" s="159"/>
      <c r="F1690" s="159"/>
      <c r="G1690" s="159"/>
      <c r="H1690" s="159"/>
      <c r="I1690" s="159"/>
      <c r="J1690" s="159"/>
      <c r="K1690" s="159"/>
      <c r="L1690" s="159"/>
      <c r="M1690" s="159"/>
      <c r="N1690" s="159"/>
      <c r="O1690" s="160"/>
    </row>
    <row r="1691" ht="1.5" customHeight="1">
      <c r="A1691" s="161"/>
      <c r="B1691" s="162"/>
      <c r="C1691" s="163"/>
      <c r="D1691" s="164"/>
      <c r="E1691" s="165"/>
      <c r="F1691" s="165"/>
      <c r="G1691" s="165"/>
      <c r="H1691" s="165"/>
      <c r="I1691" s="165"/>
      <c r="J1691" s="165"/>
      <c r="K1691" s="165"/>
      <c r="L1691" s="165"/>
      <c r="M1691" s="165"/>
      <c r="N1691" s="165"/>
      <c r="O1691" s="166"/>
    </row>
    <row r="1692" ht="1.5" customHeight="1">
      <c r="A1692" s="155"/>
      <c r="B1692" s="156"/>
      <c r="C1692" s="157"/>
      <c r="D1692" s="158"/>
      <c r="E1692" s="159"/>
      <c r="F1692" s="159"/>
      <c r="G1692" s="159"/>
      <c r="H1692" s="159"/>
      <c r="I1692" s="159"/>
      <c r="J1692" s="159"/>
      <c r="K1692" s="159"/>
      <c r="L1692" s="159"/>
      <c r="M1692" s="159"/>
      <c r="N1692" s="159"/>
      <c r="O1692" s="160"/>
    </row>
    <row r="1693" ht="1.5" customHeight="1">
      <c r="A1693" s="161"/>
      <c r="B1693" s="162"/>
      <c r="C1693" s="163"/>
      <c r="D1693" s="164"/>
      <c r="E1693" s="165"/>
      <c r="F1693" s="165"/>
      <c r="G1693" s="165"/>
      <c r="H1693" s="165"/>
      <c r="I1693" s="165"/>
      <c r="J1693" s="165"/>
      <c r="K1693" s="165"/>
      <c r="L1693" s="165"/>
      <c r="M1693" s="165"/>
      <c r="N1693" s="165"/>
      <c r="O1693" s="166"/>
    </row>
    <row r="1694" ht="1.5" customHeight="1">
      <c r="A1694" s="155"/>
      <c r="B1694" s="156"/>
      <c r="C1694" s="157"/>
      <c r="D1694" s="158"/>
      <c r="E1694" s="159"/>
      <c r="F1694" s="159"/>
      <c r="G1694" s="159"/>
      <c r="H1694" s="159"/>
      <c r="I1694" s="159"/>
      <c r="J1694" s="159"/>
      <c r="K1694" s="159"/>
      <c r="L1694" s="159"/>
      <c r="M1694" s="159"/>
      <c r="N1694" s="159"/>
      <c r="O1694" s="160"/>
    </row>
    <row r="1695" ht="1.5" customHeight="1">
      <c r="A1695" s="161"/>
      <c r="B1695" s="162"/>
      <c r="C1695" s="163"/>
      <c r="D1695" s="164"/>
      <c r="E1695" s="165"/>
      <c r="F1695" s="165"/>
      <c r="G1695" s="165"/>
      <c r="H1695" s="165"/>
      <c r="I1695" s="165"/>
      <c r="J1695" s="165"/>
      <c r="K1695" s="165"/>
      <c r="L1695" s="165"/>
      <c r="M1695" s="165"/>
      <c r="N1695" s="165"/>
      <c r="O1695" s="166"/>
    </row>
    <row r="1696" ht="1.5" customHeight="1">
      <c r="A1696" s="155"/>
      <c r="B1696" s="156"/>
      <c r="C1696" s="157"/>
      <c r="D1696" s="158"/>
      <c r="E1696" s="159"/>
      <c r="F1696" s="159"/>
      <c r="G1696" s="159"/>
      <c r="H1696" s="159"/>
      <c r="I1696" s="159"/>
      <c r="J1696" s="159"/>
      <c r="K1696" s="159"/>
      <c r="L1696" s="159"/>
      <c r="M1696" s="159"/>
      <c r="N1696" s="159"/>
      <c r="O1696" s="160"/>
    </row>
    <row r="1697" ht="1.5" customHeight="1">
      <c r="A1697" s="161"/>
      <c r="B1697" s="162"/>
      <c r="C1697" s="163"/>
      <c r="D1697" s="164"/>
      <c r="E1697" s="165"/>
      <c r="F1697" s="165"/>
      <c r="G1697" s="165"/>
      <c r="H1697" s="165"/>
      <c r="I1697" s="165"/>
      <c r="J1697" s="165"/>
      <c r="K1697" s="165"/>
      <c r="L1697" s="165"/>
      <c r="M1697" s="165"/>
      <c r="N1697" s="165"/>
      <c r="O1697" s="166"/>
    </row>
    <row r="1698" ht="1.5" customHeight="1">
      <c r="A1698" s="155"/>
      <c r="B1698" s="156"/>
      <c r="C1698" s="157"/>
      <c r="D1698" s="158"/>
      <c r="E1698" s="159"/>
      <c r="F1698" s="159"/>
      <c r="G1698" s="159"/>
      <c r="H1698" s="159"/>
      <c r="I1698" s="159"/>
      <c r="J1698" s="159"/>
      <c r="K1698" s="159"/>
      <c r="L1698" s="159"/>
      <c r="M1698" s="159"/>
      <c r="N1698" s="159"/>
      <c r="O1698" s="160"/>
    </row>
    <row r="1699" ht="1.5" customHeight="1">
      <c r="A1699" s="161"/>
      <c r="B1699" s="162"/>
      <c r="C1699" s="163"/>
      <c r="D1699" s="164"/>
      <c r="E1699" s="165"/>
      <c r="F1699" s="165"/>
      <c r="G1699" s="165"/>
      <c r="H1699" s="165"/>
      <c r="I1699" s="165"/>
      <c r="J1699" s="165"/>
      <c r="K1699" s="165"/>
      <c r="L1699" s="165"/>
      <c r="M1699" s="165"/>
      <c r="N1699" s="165"/>
      <c r="O1699" s="166"/>
    </row>
    <row r="1700" ht="1.5" customHeight="1">
      <c r="A1700" s="155"/>
      <c r="B1700" s="156"/>
      <c r="C1700" s="157"/>
      <c r="D1700" s="158"/>
      <c r="E1700" s="159"/>
      <c r="F1700" s="159"/>
      <c r="G1700" s="159"/>
      <c r="H1700" s="159"/>
      <c r="I1700" s="159"/>
      <c r="J1700" s="159"/>
      <c r="K1700" s="159"/>
      <c r="L1700" s="159"/>
      <c r="M1700" s="159"/>
      <c r="N1700" s="159"/>
      <c r="O1700" s="160"/>
    </row>
    <row r="1701" ht="1.5" customHeight="1">
      <c r="A1701" s="161"/>
      <c r="B1701" s="162"/>
      <c r="C1701" s="163"/>
      <c r="D1701" s="164"/>
      <c r="E1701" s="165"/>
      <c r="F1701" s="165"/>
      <c r="G1701" s="165"/>
      <c r="H1701" s="165"/>
      <c r="I1701" s="165"/>
      <c r="J1701" s="165"/>
      <c r="K1701" s="165"/>
      <c r="L1701" s="165"/>
      <c r="M1701" s="165"/>
      <c r="N1701" s="165"/>
      <c r="O1701" s="166"/>
    </row>
    <row r="1702" ht="1.5" customHeight="1">
      <c r="A1702" s="155"/>
      <c r="B1702" s="156"/>
      <c r="C1702" s="157"/>
      <c r="D1702" s="158"/>
      <c r="E1702" s="159"/>
      <c r="F1702" s="159"/>
      <c r="G1702" s="159"/>
      <c r="H1702" s="159"/>
      <c r="I1702" s="159"/>
      <c r="J1702" s="159"/>
      <c r="K1702" s="159"/>
      <c r="L1702" s="159"/>
      <c r="M1702" s="159"/>
      <c r="N1702" s="159"/>
      <c r="O1702" s="160"/>
    </row>
    <row r="1703" ht="1.5" customHeight="1">
      <c r="A1703" s="161"/>
      <c r="B1703" s="162"/>
      <c r="C1703" s="163"/>
      <c r="D1703" s="164"/>
      <c r="E1703" s="165"/>
      <c r="F1703" s="165"/>
      <c r="G1703" s="165"/>
      <c r="H1703" s="165"/>
      <c r="I1703" s="165"/>
      <c r="J1703" s="165"/>
      <c r="K1703" s="165"/>
      <c r="L1703" s="165"/>
      <c r="M1703" s="165"/>
      <c r="N1703" s="165"/>
      <c r="O1703" s="166"/>
    </row>
    <row r="1704" ht="1.5" customHeight="1">
      <c r="A1704" s="155"/>
      <c r="B1704" s="156"/>
      <c r="C1704" s="157"/>
      <c r="D1704" s="158"/>
      <c r="E1704" s="159"/>
      <c r="F1704" s="159"/>
      <c r="G1704" s="159"/>
      <c r="H1704" s="159"/>
      <c r="I1704" s="159"/>
      <c r="J1704" s="159"/>
      <c r="K1704" s="159"/>
      <c r="L1704" s="159"/>
      <c r="M1704" s="159"/>
      <c r="N1704" s="159"/>
      <c r="O1704" s="160"/>
    </row>
    <row r="1705" ht="1.5" customHeight="1">
      <c r="A1705" s="161"/>
      <c r="B1705" s="162"/>
      <c r="C1705" s="163"/>
      <c r="D1705" s="164"/>
      <c r="E1705" s="165"/>
      <c r="F1705" s="165"/>
      <c r="G1705" s="165"/>
      <c r="H1705" s="165"/>
      <c r="I1705" s="165"/>
      <c r="J1705" s="165"/>
      <c r="K1705" s="165"/>
      <c r="L1705" s="165"/>
      <c r="M1705" s="165"/>
      <c r="N1705" s="165"/>
      <c r="O1705" s="166"/>
    </row>
    <row r="1706" ht="1.5" customHeight="1">
      <c r="A1706" s="155"/>
      <c r="B1706" s="156"/>
      <c r="C1706" s="157"/>
      <c r="D1706" s="158"/>
      <c r="E1706" s="159"/>
      <c r="F1706" s="159"/>
      <c r="G1706" s="159"/>
      <c r="H1706" s="159"/>
      <c r="I1706" s="159"/>
      <c r="J1706" s="159"/>
      <c r="K1706" s="159"/>
      <c r="L1706" s="159"/>
      <c r="M1706" s="159"/>
      <c r="N1706" s="159"/>
      <c r="O1706" s="160"/>
    </row>
    <row r="1707" ht="1.5" customHeight="1">
      <c r="A1707" s="161"/>
      <c r="B1707" s="162"/>
      <c r="C1707" s="163"/>
      <c r="D1707" s="164"/>
      <c r="E1707" s="165"/>
      <c r="F1707" s="165"/>
      <c r="G1707" s="165"/>
      <c r="H1707" s="165"/>
      <c r="I1707" s="165"/>
      <c r="J1707" s="165"/>
      <c r="K1707" s="165"/>
      <c r="L1707" s="165"/>
      <c r="M1707" s="165"/>
      <c r="N1707" s="165"/>
      <c r="O1707" s="166"/>
    </row>
    <row r="1708" ht="1.5" customHeight="1">
      <c r="A1708" s="155"/>
      <c r="B1708" s="156"/>
      <c r="C1708" s="157"/>
      <c r="D1708" s="158"/>
      <c r="E1708" s="159"/>
      <c r="F1708" s="159"/>
      <c r="G1708" s="159"/>
      <c r="H1708" s="159"/>
      <c r="I1708" s="159"/>
      <c r="J1708" s="159"/>
      <c r="K1708" s="159"/>
      <c r="L1708" s="159"/>
      <c r="M1708" s="159"/>
      <c r="N1708" s="159"/>
      <c r="O1708" s="160"/>
    </row>
    <row r="1709" ht="1.5" customHeight="1">
      <c r="A1709" s="161"/>
      <c r="B1709" s="162"/>
      <c r="C1709" s="163"/>
      <c r="D1709" s="164"/>
      <c r="E1709" s="165"/>
      <c r="F1709" s="165"/>
      <c r="G1709" s="165"/>
      <c r="H1709" s="165"/>
      <c r="I1709" s="165"/>
      <c r="J1709" s="165"/>
      <c r="K1709" s="165"/>
      <c r="L1709" s="165"/>
      <c r="M1709" s="165"/>
      <c r="N1709" s="165"/>
      <c r="O1709" s="166"/>
    </row>
    <row r="1710" ht="1.5" customHeight="1">
      <c r="A1710" s="155"/>
      <c r="B1710" s="156"/>
      <c r="C1710" s="157"/>
      <c r="D1710" s="158"/>
      <c r="E1710" s="159"/>
      <c r="F1710" s="159"/>
      <c r="G1710" s="159"/>
      <c r="H1710" s="159"/>
      <c r="I1710" s="159"/>
      <c r="J1710" s="159"/>
      <c r="K1710" s="159"/>
      <c r="L1710" s="159"/>
      <c r="M1710" s="159"/>
      <c r="N1710" s="159"/>
      <c r="O1710" s="160"/>
    </row>
    <row r="1711" ht="1.5" customHeight="1">
      <c r="A1711" s="161"/>
      <c r="B1711" s="162"/>
      <c r="C1711" s="163"/>
      <c r="D1711" s="164"/>
      <c r="E1711" s="165"/>
      <c r="F1711" s="165"/>
      <c r="G1711" s="165"/>
      <c r="H1711" s="165"/>
      <c r="I1711" s="165"/>
      <c r="J1711" s="165"/>
      <c r="K1711" s="165"/>
      <c r="L1711" s="165"/>
      <c r="M1711" s="165"/>
      <c r="N1711" s="165"/>
      <c r="O1711" s="166"/>
    </row>
    <row r="1712" ht="1.5" customHeight="1">
      <c r="A1712" s="155"/>
      <c r="B1712" s="156"/>
      <c r="C1712" s="157"/>
      <c r="D1712" s="158"/>
      <c r="E1712" s="159"/>
      <c r="F1712" s="159"/>
      <c r="G1712" s="159"/>
      <c r="H1712" s="159"/>
      <c r="I1712" s="159"/>
      <c r="J1712" s="159"/>
      <c r="K1712" s="159"/>
      <c r="L1712" s="159"/>
      <c r="M1712" s="159"/>
      <c r="N1712" s="159"/>
      <c r="O1712" s="160"/>
    </row>
    <row r="1713" ht="1.5" customHeight="1">
      <c r="A1713" s="161"/>
      <c r="B1713" s="162"/>
      <c r="C1713" s="163"/>
      <c r="D1713" s="164"/>
      <c r="E1713" s="165"/>
      <c r="F1713" s="165"/>
      <c r="G1713" s="165"/>
      <c r="H1713" s="165"/>
      <c r="I1713" s="165"/>
      <c r="J1713" s="165"/>
      <c r="K1713" s="165"/>
      <c r="L1713" s="165"/>
      <c r="M1713" s="165"/>
      <c r="N1713" s="165"/>
      <c r="O1713" s="166"/>
    </row>
    <row r="1714" ht="1.5" customHeight="1">
      <c r="A1714" s="155"/>
      <c r="B1714" s="156"/>
      <c r="C1714" s="157"/>
      <c r="D1714" s="158"/>
      <c r="E1714" s="159"/>
      <c r="F1714" s="159"/>
      <c r="G1714" s="159"/>
      <c r="H1714" s="159"/>
      <c r="I1714" s="159"/>
      <c r="J1714" s="159"/>
      <c r="K1714" s="159"/>
      <c r="L1714" s="159"/>
      <c r="M1714" s="159"/>
      <c r="N1714" s="159"/>
      <c r="O1714" s="160"/>
    </row>
    <row r="1715" ht="1.5" customHeight="1">
      <c r="A1715" s="161"/>
      <c r="B1715" s="162"/>
      <c r="C1715" s="163"/>
      <c r="D1715" s="164"/>
      <c r="E1715" s="165"/>
      <c r="F1715" s="165"/>
      <c r="G1715" s="165"/>
      <c r="H1715" s="165"/>
      <c r="I1715" s="165"/>
      <c r="J1715" s="165"/>
      <c r="K1715" s="165"/>
      <c r="L1715" s="165"/>
      <c r="M1715" s="165"/>
      <c r="N1715" s="165"/>
      <c r="O1715" s="166"/>
    </row>
    <row r="1716" ht="1.5" customHeight="1">
      <c r="A1716" s="155"/>
      <c r="B1716" s="156"/>
      <c r="C1716" s="157"/>
      <c r="D1716" s="158"/>
      <c r="E1716" s="159"/>
      <c r="F1716" s="159"/>
      <c r="G1716" s="159"/>
      <c r="H1716" s="159"/>
      <c r="I1716" s="159"/>
      <c r="J1716" s="159"/>
      <c r="K1716" s="159"/>
      <c r="L1716" s="159"/>
      <c r="M1716" s="159"/>
      <c r="N1716" s="159"/>
      <c r="O1716" s="160"/>
    </row>
    <row r="1717" ht="1.5" customHeight="1">
      <c r="A1717" s="161"/>
      <c r="B1717" s="162"/>
      <c r="C1717" s="163"/>
      <c r="D1717" s="164"/>
      <c r="E1717" s="165"/>
      <c r="F1717" s="165"/>
      <c r="G1717" s="165"/>
      <c r="H1717" s="165"/>
      <c r="I1717" s="165"/>
      <c r="J1717" s="165"/>
      <c r="K1717" s="165"/>
      <c r="L1717" s="165"/>
      <c r="M1717" s="165"/>
      <c r="N1717" s="165"/>
      <c r="O1717" s="166"/>
    </row>
    <row r="1718" ht="1.5" customHeight="1">
      <c r="A1718" s="155"/>
      <c r="B1718" s="156"/>
      <c r="C1718" s="157"/>
      <c r="D1718" s="158"/>
      <c r="E1718" s="159"/>
      <c r="F1718" s="159"/>
      <c r="G1718" s="159"/>
      <c r="H1718" s="159"/>
      <c r="I1718" s="159"/>
      <c r="J1718" s="159"/>
      <c r="K1718" s="159"/>
      <c r="L1718" s="159"/>
      <c r="M1718" s="159"/>
      <c r="N1718" s="159"/>
      <c r="O1718" s="160"/>
    </row>
    <row r="1719" ht="1.5" customHeight="1">
      <c r="A1719" s="161"/>
      <c r="B1719" s="162"/>
      <c r="C1719" s="163"/>
      <c r="D1719" s="164"/>
      <c r="E1719" s="165"/>
      <c r="F1719" s="165"/>
      <c r="G1719" s="165"/>
      <c r="H1719" s="165"/>
      <c r="I1719" s="165"/>
      <c r="J1719" s="165"/>
      <c r="K1719" s="165"/>
      <c r="L1719" s="165"/>
      <c r="M1719" s="165"/>
      <c r="N1719" s="165"/>
      <c r="O1719" s="166"/>
    </row>
    <row r="1720" ht="1.5" customHeight="1">
      <c r="A1720" s="155"/>
      <c r="B1720" s="156"/>
      <c r="C1720" s="157"/>
      <c r="D1720" s="158"/>
      <c r="E1720" s="159"/>
      <c r="F1720" s="159"/>
      <c r="G1720" s="159"/>
      <c r="H1720" s="159"/>
      <c r="I1720" s="159"/>
      <c r="J1720" s="159"/>
      <c r="K1720" s="159"/>
      <c r="L1720" s="159"/>
      <c r="M1720" s="159"/>
      <c r="N1720" s="159"/>
      <c r="O1720" s="160"/>
    </row>
    <row r="1721" ht="1.5" customHeight="1">
      <c r="A1721" s="161"/>
      <c r="B1721" s="162"/>
      <c r="C1721" s="163"/>
      <c r="D1721" s="164"/>
      <c r="E1721" s="165"/>
      <c r="F1721" s="165"/>
      <c r="G1721" s="165"/>
      <c r="H1721" s="165"/>
      <c r="I1721" s="165"/>
      <c r="J1721" s="165"/>
      <c r="K1721" s="165"/>
      <c r="L1721" s="165"/>
      <c r="M1721" s="165"/>
      <c r="N1721" s="165"/>
      <c r="O1721" s="166"/>
    </row>
    <row r="1722" ht="1.5" customHeight="1">
      <c r="A1722" s="155"/>
      <c r="B1722" s="156"/>
      <c r="C1722" s="157"/>
      <c r="D1722" s="158"/>
      <c r="E1722" s="159"/>
      <c r="F1722" s="159"/>
      <c r="G1722" s="159"/>
      <c r="H1722" s="159"/>
      <c r="I1722" s="159"/>
      <c r="J1722" s="159"/>
      <c r="K1722" s="159"/>
      <c r="L1722" s="159"/>
      <c r="M1722" s="159"/>
      <c r="N1722" s="159"/>
      <c r="O1722" s="160"/>
    </row>
    <row r="1723" ht="1.5" customHeight="1">
      <c r="A1723" s="161"/>
      <c r="B1723" s="162"/>
      <c r="C1723" s="163"/>
      <c r="D1723" s="164"/>
      <c r="E1723" s="165"/>
      <c r="F1723" s="165"/>
      <c r="G1723" s="165"/>
      <c r="H1723" s="165"/>
      <c r="I1723" s="165"/>
      <c r="J1723" s="165"/>
      <c r="K1723" s="165"/>
      <c r="L1723" s="165"/>
      <c r="M1723" s="165"/>
      <c r="N1723" s="165"/>
      <c r="O1723" s="166"/>
    </row>
    <row r="1724" ht="1.5" customHeight="1">
      <c r="A1724" s="155"/>
      <c r="B1724" s="156"/>
      <c r="C1724" s="157"/>
      <c r="D1724" s="158"/>
      <c r="E1724" s="159"/>
      <c r="F1724" s="159"/>
      <c r="G1724" s="159"/>
      <c r="H1724" s="159"/>
      <c r="I1724" s="159"/>
      <c r="J1724" s="159"/>
      <c r="K1724" s="159"/>
      <c r="L1724" s="159"/>
      <c r="M1724" s="159"/>
      <c r="N1724" s="159"/>
      <c r="O1724" s="160"/>
    </row>
    <row r="1725" ht="1.5" customHeight="1">
      <c r="A1725" s="161"/>
      <c r="B1725" s="162"/>
      <c r="C1725" s="163"/>
      <c r="D1725" s="164"/>
      <c r="E1725" s="165"/>
      <c r="F1725" s="165"/>
      <c r="G1725" s="165"/>
      <c r="H1725" s="165"/>
      <c r="I1725" s="165"/>
      <c r="J1725" s="165"/>
      <c r="K1725" s="165"/>
      <c r="L1725" s="165"/>
      <c r="M1725" s="165"/>
      <c r="N1725" s="165"/>
      <c r="O1725" s="166"/>
    </row>
    <row r="1726" ht="1.5" customHeight="1">
      <c r="A1726" s="155"/>
      <c r="B1726" s="156"/>
      <c r="C1726" s="157"/>
      <c r="D1726" s="158"/>
      <c r="E1726" s="159"/>
      <c r="F1726" s="159"/>
      <c r="G1726" s="159"/>
      <c r="H1726" s="159"/>
      <c r="I1726" s="159"/>
      <c r="J1726" s="159"/>
      <c r="K1726" s="159"/>
      <c r="L1726" s="159"/>
      <c r="M1726" s="159"/>
      <c r="N1726" s="159"/>
      <c r="O1726" s="160"/>
    </row>
    <row r="1727" ht="1.5" customHeight="1">
      <c r="A1727" s="161"/>
      <c r="B1727" s="162"/>
      <c r="C1727" s="163"/>
      <c r="D1727" s="164"/>
      <c r="E1727" s="165"/>
      <c r="F1727" s="165"/>
      <c r="G1727" s="165"/>
      <c r="H1727" s="165"/>
      <c r="I1727" s="165"/>
      <c r="J1727" s="165"/>
      <c r="K1727" s="165"/>
      <c r="L1727" s="165"/>
      <c r="M1727" s="165"/>
      <c r="N1727" s="165"/>
      <c r="O1727" s="166"/>
    </row>
    <row r="1728" ht="1.5" customHeight="1">
      <c r="A1728" s="155"/>
      <c r="B1728" s="156"/>
      <c r="C1728" s="157"/>
      <c r="D1728" s="158"/>
      <c r="E1728" s="159"/>
      <c r="F1728" s="159"/>
      <c r="G1728" s="159"/>
      <c r="H1728" s="159"/>
      <c r="I1728" s="159"/>
      <c r="J1728" s="159"/>
      <c r="K1728" s="159"/>
      <c r="L1728" s="159"/>
      <c r="M1728" s="159"/>
      <c r="N1728" s="159"/>
      <c r="O1728" s="160"/>
    </row>
    <row r="1729" ht="1.5" customHeight="1">
      <c r="A1729" s="161"/>
      <c r="B1729" s="162"/>
      <c r="C1729" s="163"/>
      <c r="D1729" s="164"/>
      <c r="E1729" s="165"/>
      <c r="F1729" s="165"/>
      <c r="G1729" s="165"/>
      <c r="H1729" s="165"/>
      <c r="I1729" s="165"/>
      <c r="J1729" s="165"/>
      <c r="K1729" s="165"/>
      <c r="L1729" s="165"/>
      <c r="M1729" s="165"/>
      <c r="N1729" s="165"/>
      <c r="O1729" s="166"/>
    </row>
    <row r="1730" ht="1.5" customHeight="1">
      <c r="A1730" s="155"/>
      <c r="B1730" s="156"/>
      <c r="C1730" s="157"/>
      <c r="D1730" s="158"/>
      <c r="E1730" s="159"/>
      <c r="F1730" s="159"/>
      <c r="G1730" s="159"/>
      <c r="H1730" s="159"/>
      <c r="I1730" s="159"/>
      <c r="J1730" s="159"/>
      <c r="K1730" s="159"/>
      <c r="L1730" s="159"/>
      <c r="M1730" s="159"/>
      <c r="N1730" s="159"/>
      <c r="O1730" s="160"/>
    </row>
    <row r="1731" ht="1.5" customHeight="1">
      <c r="A1731" s="161"/>
      <c r="B1731" s="162"/>
      <c r="C1731" s="163"/>
      <c r="D1731" s="164"/>
      <c r="E1731" s="165"/>
      <c r="F1731" s="165"/>
      <c r="G1731" s="165"/>
      <c r="H1731" s="165"/>
      <c r="I1731" s="165"/>
      <c r="J1731" s="165"/>
      <c r="K1731" s="165"/>
      <c r="L1731" s="165"/>
      <c r="M1731" s="165"/>
      <c r="N1731" s="165"/>
      <c r="O1731" s="166"/>
    </row>
    <row r="1732" ht="1.5" customHeight="1">
      <c r="A1732" s="155"/>
      <c r="B1732" s="156"/>
      <c r="C1732" s="157"/>
      <c r="D1732" s="158"/>
      <c r="E1732" s="159"/>
      <c r="F1732" s="159"/>
      <c r="G1732" s="159"/>
      <c r="H1732" s="159"/>
      <c r="I1732" s="159"/>
      <c r="J1732" s="159"/>
      <c r="K1732" s="159"/>
      <c r="L1732" s="159"/>
      <c r="M1732" s="159"/>
      <c r="N1732" s="159"/>
      <c r="O1732" s="160"/>
    </row>
    <row r="1733" ht="1.5" customHeight="1">
      <c r="A1733" s="161"/>
      <c r="B1733" s="162"/>
      <c r="C1733" s="163"/>
      <c r="D1733" s="164"/>
      <c r="E1733" s="165"/>
      <c r="F1733" s="165"/>
      <c r="G1733" s="165"/>
      <c r="H1733" s="165"/>
      <c r="I1733" s="165"/>
      <c r="J1733" s="165"/>
      <c r="K1733" s="165"/>
      <c r="L1733" s="165"/>
      <c r="M1733" s="165"/>
      <c r="N1733" s="165"/>
      <c r="O1733" s="166"/>
    </row>
    <row r="1734" ht="1.5" customHeight="1">
      <c r="A1734" s="155"/>
      <c r="B1734" s="156"/>
      <c r="C1734" s="157"/>
      <c r="D1734" s="158"/>
      <c r="E1734" s="159"/>
      <c r="F1734" s="159"/>
      <c r="G1734" s="159"/>
      <c r="H1734" s="159"/>
      <c r="I1734" s="159"/>
      <c r="J1734" s="159"/>
      <c r="K1734" s="159"/>
      <c r="L1734" s="159"/>
      <c r="M1734" s="159"/>
      <c r="N1734" s="159"/>
      <c r="O1734" s="160"/>
    </row>
    <row r="1735" ht="1.5" customHeight="1">
      <c r="A1735" s="161"/>
      <c r="B1735" s="162"/>
      <c r="C1735" s="163"/>
      <c r="D1735" s="164"/>
      <c r="E1735" s="165"/>
      <c r="F1735" s="165"/>
      <c r="G1735" s="165"/>
      <c r="H1735" s="165"/>
      <c r="I1735" s="165"/>
      <c r="J1735" s="165"/>
      <c r="K1735" s="165"/>
      <c r="L1735" s="165"/>
      <c r="M1735" s="165"/>
      <c r="N1735" s="165"/>
      <c r="O1735" s="166"/>
    </row>
    <row r="1736" ht="1.5" customHeight="1">
      <c r="A1736" s="155"/>
      <c r="B1736" s="156"/>
      <c r="C1736" s="157"/>
      <c r="D1736" s="158"/>
      <c r="E1736" s="159"/>
      <c r="F1736" s="159"/>
      <c r="G1736" s="159"/>
      <c r="H1736" s="159"/>
      <c r="I1736" s="159"/>
      <c r="J1736" s="159"/>
      <c r="K1736" s="159"/>
      <c r="L1736" s="159"/>
      <c r="M1736" s="159"/>
      <c r="N1736" s="159"/>
      <c r="O1736" s="160"/>
    </row>
    <row r="1737" ht="1.5" customHeight="1">
      <c r="A1737" s="161"/>
      <c r="B1737" s="162"/>
      <c r="C1737" s="163"/>
      <c r="D1737" s="164"/>
      <c r="E1737" s="165"/>
      <c r="F1737" s="165"/>
      <c r="G1737" s="165"/>
      <c r="H1737" s="165"/>
      <c r="I1737" s="165"/>
      <c r="J1737" s="165"/>
      <c r="K1737" s="165"/>
      <c r="L1737" s="165"/>
      <c r="M1737" s="165"/>
      <c r="N1737" s="165"/>
      <c r="O1737" s="166"/>
    </row>
    <row r="1738" ht="1.5" customHeight="1">
      <c r="A1738" s="155"/>
      <c r="B1738" s="156"/>
      <c r="C1738" s="157"/>
      <c r="D1738" s="158"/>
      <c r="E1738" s="159"/>
      <c r="F1738" s="159"/>
      <c r="G1738" s="159"/>
      <c r="H1738" s="159"/>
      <c r="I1738" s="159"/>
      <c r="J1738" s="159"/>
      <c r="K1738" s="159"/>
      <c r="L1738" s="159"/>
      <c r="M1738" s="159"/>
      <c r="N1738" s="159"/>
      <c r="O1738" s="160"/>
    </row>
    <row r="1739" ht="1.5" customHeight="1">
      <c r="A1739" s="161"/>
      <c r="B1739" s="162"/>
      <c r="C1739" s="163"/>
      <c r="D1739" s="164"/>
      <c r="E1739" s="165"/>
      <c r="F1739" s="165"/>
      <c r="G1739" s="165"/>
      <c r="H1739" s="165"/>
      <c r="I1739" s="165"/>
      <c r="J1739" s="165"/>
      <c r="K1739" s="165"/>
      <c r="L1739" s="165"/>
      <c r="M1739" s="165"/>
      <c r="N1739" s="165"/>
      <c r="O1739" s="166"/>
    </row>
    <row r="1740" ht="1.5" customHeight="1">
      <c r="A1740" s="155"/>
      <c r="B1740" s="156"/>
      <c r="C1740" s="157"/>
      <c r="D1740" s="158"/>
      <c r="E1740" s="159"/>
      <c r="F1740" s="159"/>
      <c r="G1740" s="159"/>
      <c r="H1740" s="159"/>
      <c r="I1740" s="159"/>
      <c r="J1740" s="159"/>
      <c r="K1740" s="159"/>
      <c r="L1740" s="159"/>
      <c r="M1740" s="159"/>
      <c r="N1740" s="159"/>
      <c r="O1740" s="160"/>
    </row>
    <row r="1741" ht="1.5" customHeight="1">
      <c r="A1741" s="161"/>
      <c r="B1741" s="162"/>
      <c r="C1741" s="163"/>
      <c r="D1741" s="164"/>
      <c r="E1741" s="165"/>
      <c r="F1741" s="165"/>
      <c r="G1741" s="165"/>
      <c r="H1741" s="165"/>
      <c r="I1741" s="165"/>
      <c r="J1741" s="165"/>
      <c r="K1741" s="165"/>
      <c r="L1741" s="165"/>
      <c r="M1741" s="165"/>
      <c r="N1741" s="165"/>
      <c r="O1741" s="166"/>
    </row>
    <row r="1742" ht="1.5" customHeight="1">
      <c r="A1742" s="155"/>
      <c r="B1742" s="156"/>
      <c r="C1742" s="157"/>
      <c r="D1742" s="158"/>
      <c r="E1742" s="159"/>
      <c r="F1742" s="159"/>
      <c r="G1742" s="159"/>
      <c r="H1742" s="159"/>
      <c r="I1742" s="159"/>
      <c r="J1742" s="159"/>
      <c r="K1742" s="159"/>
      <c r="L1742" s="159"/>
      <c r="M1742" s="159"/>
      <c r="N1742" s="159"/>
      <c r="O1742" s="160"/>
    </row>
    <row r="1743" ht="1.5" customHeight="1">
      <c r="A1743" s="161"/>
      <c r="B1743" s="162"/>
      <c r="C1743" s="163"/>
      <c r="D1743" s="164"/>
      <c r="E1743" s="165"/>
      <c r="F1743" s="165"/>
      <c r="G1743" s="165"/>
      <c r="H1743" s="165"/>
      <c r="I1743" s="165"/>
      <c r="J1743" s="165"/>
      <c r="K1743" s="165"/>
      <c r="L1743" s="165"/>
      <c r="M1743" s="165"/>
      <c r="N1743" s="165"/>
      <c r="O1743" s="166"/>
    </row>
    <row r="1744" ht="1.5" customHeight="1">
      <c r="A1744" s="155"/>
      <c r="B1744" s="156"/>
      <c r="C1744" s="157"/>
      <c r="D1744" s="158"/>
      <c r="E1744" s="159"/>
      <c r="F1744" s="159"/>
      <c r="G1744" s="159"/>
      <c r="H1744" s="159"/>
      <c r="I1744" s="159"/>
      <c r="J1744" s="159"/>
      <c r="K1744" s="159"/>
      <c r="L1744" s="159"/>
      <c r="M1744" s="159"/>
      <c r="N1744" s="159"/>
      <c r="O1744" s="160"/>
    </row>
    <row r="1745" ht="1.5" customHeight="1">
      <c r="A1745" s="161"/>
      <c r="B1745" s="162"/>
      <c r="C1745" s="163"/>
      <c r="D1745" s="164"/>
      <c r="E1745" s="165"/>
      <c r="F1745" s="165"/>
      <c r="G1745" s="165"/>
      <c r="H1745" s="165"/>
      <c r="I1745" s="165"/>
      <c r="J1745" s="165"/>
      <c r="K1745" s="165"/>
      <c r="L1745" s="165"/>
      <c r="M1745" s="165"/>
      <c r="N1745" s="165"/>
      <c r="O1745" s="166"/>
    </row>
    <row r="1746" ht="1.5" customHeight="1">
      <c r="A1746" s="155"/>
      <c r="B1746" s="156"/>
      <c r="C1746" s="157"/>
      <c r="D1746" s="158"/>
      <c r="E1746" s="159"/>
      <c r="F1746" s="159"/>
      <c r="G1746" s="159"/>
      <c r="H1746" s="159"/>
      <c r="I1746" s="159"/>
      <c r="J1746" s="159"/>
      <c r="K1746" s="159"/>
      <c r="L1746" s="159"/>
      <c r="M1746" s="159"/>
      <c r="N1746" s="159"/>
      <c r="O1746" s="160"/>
    </row>
    <row r="1747" ht="1.5" customHeight="1">
      <c r="A1747" s="161"/>
      <c r="B1747" s="162"/>
      <c r="C1747" s="163"/>
      <c r="D1747" s="164"/>
      <c r="E1747" s="165"/>
      <c r="F1747" s="165"/>
      <c r="G1747" s="165"/>
      <c r="H1747" s="165"/>
      <c r="I1747" s="165"/>
      <c r="J1747" s="165"/>
      <c r="K1747" s="165"/>
      <c r="L1747" s="165"/>
      <c r="M1747" s="165"/>
      <c r="N1747" s="165"/>
      <c r="O1747" s="166"/>
    </row>
    <row r="1748" ht="1.5" customHeight="1">
      <c r="A1748" s="155"/>
      <c r="B1748" s="156"/>
      <c r="C1748" s="157"/>
      <c r="D1748" s="158"/>
      <c r="E1748" s="159"/>
      <c r="F1748" s="159"/>
      <c r="G1748" s="159"/>
      <c r="H1748" s="159"/>
      <c r="I1748" s="159"/>
      <c r="J1748" s="159"/>
      <c r="K1748" s="159"/>
      <c r="L1748" s="159"/>
      <c r="M1748" s="159"/>
      <c r="N1748" s="159"/>
      <c r="O1748" s="160"/>
    </row>
    <row r="1749" ht="1.5" customHeight="1">
      <c r="A1749" s="161"/>
      <c r="B1749" s="162"/>
      <c r="C1749" s="163"/>
      <c r="D1749" s="164"/>
      <c r="E1749" s="165"/>
      <c r="F1749" s="165"/>
      <c r="G1749" s="165"/>
      <c r="H1749" s="165"/>
      <c r="I1749" s="165"/>
      <c r="J1749" s="165"/>
      <c r="K1749" s="165"/>
      <c r="L1749" s="165"/>
      <c r="M1749" s="165"/>
      <c r="N1749" s="165"/>
      <c r="O1749" s="166"/>
    </row>
    <row r="1750" ht="1.5" customHeight="1">
      <c r="A1750" s="155"/>
      <c r="B1750" s="156"/>
      <c r="C1750" s="157"/>
      <c r="D1750" s="158"/>
      <c r="E1750" s="159"/>
      <c r="F1750" s="159"/>
      <c r="G1750" s="159"/>
      <c r="H1750" s="159"/>
      <c r="I1750" s="159"/>
      <c r="J1750" s="159"/>
      <c r="K1750" s="159"/>
      <c r="L1750" s="159"/>
      <c r="M1750" s="159"/>
      <c r="N1750" s="159"/>
      <c r="O1750" s="160"/>
    </row>
    <row r="1751" ht="1.5" customHeight="1">
      <c r="A1751" s="161"/>
      <c r="B1751" s="162"/>
      <c r="C1751" s="163"/>
      <c r="D1751" s="164"/>
      <c r="E1751" s="165"/>
      <c r="F1751" s="165"/>
      <c r="G1751" s="165"/>
      <c r="H1751" s="165"/>
      <c r="I1751" s="165"/>
      <c r="J1751" s="165"/>
      <c r="K1751" s="165"/>
      <c r="L1751" s="165"/>
      <c r="M1751" s="165"/>
      <c r="N1751" s="165"/>
      <c r="O1751" s="166"/>
    </row>
    <row r="1752" ht="1.5" customHeight="1">
      <c r="A1752" s="155"/>
      <c r="B1752" s="156"/>
      <c r="C1752" s="157"/>
      <c r="D1752" s="158"/>
      <c r="E1752" s="159"/>
      <c r="F1752" s="159"/>
      <c r="G1752" s="159"/>
      <c r="H1752" s="159"/>
      <c r="I1752" s="159"/>
      <c r="J1752" s="159"/>
      <c r="K1752" s="159"/>
      <c r="L1752" s="159"/>
      <c r="M1752" s="159"/>
      <c r="N1752" s="159"/>
      <c r="O1752" s="160"/>
    </row>
    <row r="1753" ht="1.5" customHeight="1">
      <c r="A1753" s="161"/>
      <c r="B1753" s="162"/>
      <c r="C1753" s="163"/>
      <c r="D1753" s="164"/>
      <c r="E1753" s="165"/>
      <c r="F1753" s="165"/>
      <c r="G1753" s="165"/>
      <c r="H1753" s="165"/>
      <c r="I1753" s="165"/>
      <c r="J1753" s="165"/>
      <c r="K1753" s="165"/>
      <c r="L1753" s="165"/>
      <c r="M1753" s="165"/>
      <c r="N1753" s="165"/>
      <c r="O1753" s="166"/>
    </row>
    <row r="1754" ht="1.5" customHeight="1">
      <c r="A1754" s="155"/>
      <c r="B1754" s="156"/>
      <c r="C1754" s="157"/>
      <c r="D1754" s="158"/>
      <c r="E1754" s="159"/>
      <c r="F1754" s="159"/>
      <c r="G1754" s="159"/>
      <c r="H1754" s="159"/>
      <c r="I1754" s="159"/>
      <c r="J1754" s="159"/>
      <c r="K1754" s="159"/>
      <c r="L1754" s="159"/>
      <c r="M1754" s="159"/>
      <c r="N1754" s="159"/>
      <c r="O1754" s="160"/>
    </row>
    <row r="1755" ht="1.5" customHeight="1">
      <c r="A1755" s="161"/>
      <c r="B1755" s="162"/>
      <c r="C1755" s="163"/>
      <c r="D1755" s="164"/>
      <c r="E1755" s="165"/>
      <c r="F1755" s="165"/>
      <c r="G1755" s="165"/>
      <c r="H1755" s="165"/>
      <c r="I1755" s="165"/>
      <c r="J1755" s="165"/>
      <c r="K1755" s="165"/>
      <c r="L1755" s="165"/>
      <c r="M1755" s="165"/>
      <c r="N1755" s="165"/>
      <c r="O1755" s="166"/>
    </row>
    <row r="1756" ht="1.5" customHeight="1">
      <c r="A1756" s="155"/>
      <c r="B1756" s="156"/>
      <c r="C1756" s="157"/>
      <c r="D1756" s="158"/>
      <c r="E1756" s="159"/>
      <c r="F1756" s="159"/>
      <c r="G1756" s="159"/>
      <c r="H1756" s="159"/>
      <c r="I1756" s="159"/>
      <c r="J1756" s="159"/>
      <c r="K1756" s="159"/>
      <c r="L1756" s="159"/>
      <c r="M1756" s="159"/>
      <c r="N1756" s="159"/>
      <c r="O1756" s="160"/>
    </row>
    <row r="1757" ht="1.5" customHeight="1">
      <c r="A1757" s="161"/>
      <c r="B1757" s="162"/>
      <c r="C1757" s="163"/>
      <c r="D1757" s="164"/>
      <c r="E1757" s="165"/>
      <c r="F1757" s="165"/>
      <c r="G1757" s="165"/>
      <c r="H1757" s="165"/>
      <c r="I1757" s="165"/>
      <c r="J1757" s="165"/>
      <c r="K1757" s="165"/>
      <c r="L1757" s="165"/>
      <c r="M1757" s="165"/>
      <c r="N1757" s="165"/>
      <c r="O1757" s="166"/>
    </row>
    <row r="1758" ht="1.5" customHeight="1">
      <c r="A1758" s="155"/>
      <c r="B1758" s="156"/>
      <c r="C1758" s="157"/>
      <c r="D1758" s="158"/>
      <c r="E1758" s="159"/>
      <c r="F1758" s="159"/>
      <c r="G1758" s="159"/>
      <c r="H1758" s="159"/>
      <c r="I1758" s="159"/>
      <c r="J1758" s="159"/>
      <c r="K1758" s="159"/>
      <c r="L1758" s="159"/>
      <c r="M1758" s="159"/>
      <c r="N1758" s="159"/>
      <c r="O1758" s="160"/>
    </row>
    <row r="1759" ht="1.5" customHeight="1">
      <c r="A1759" s="161"/>
      <c r="B1759" s="162"/>
      <c r="C1759" s="163"/>
      <c r="D1759" s="164"/>
      <c r="E1759" s="165"/>
      <c r="F1759" s="165"/>
      <c r="G1759" s="165"/>
      <c r="H1759" s="165"/>
      <c r="I1759" s="165"/>
      <c r="J1759" s="165"/>
      <c r="K1759" s="165"/>
      <c r="L1759" s="165"/>
      <c r="M1759" s="165"/>
      <c r="N1759" s="165"/>
      <c r="O1759" s="166"/>
    </row>
    <row r="1760" ht="1.5" customHeight="1">
      <c r="A1760" s="155"/>
      <c r="B1760" s="156"/>
      <c r="C1760" s="157"/>
      <c r="D1760" s="158"/>
      <c r="E1760" s="159"/>
      <c r="F1760" s="159"/>
      <c r="G1760" s="159"/>
      <c r="H1760" s="159"/>
      <c r="I1760" s="159"/>
      <c r="J1760" s="159"/>
      <c r="K1760" s="159"/>
      <c r="L1760" s="159"/>
      <c r="M1760" s="159"/>
      <c r="N1760" s="159"/>
      <c r="O1760" s="160"/>
    </row>
    <row r="1761" ht="1.5" customHeight="1">
      <c r="A1761" s="161"/>
      <c r="B1761" s="162"/>
      <c r="C1761" s="163"/>
      <c r="D1761" s="164"/>
      <c r="E1761" s="165"/>
      <c r="F1761" s="165"/>
      <c r="G1761" s="165"/>
      <c r="H1761" s="165"/>
      <c r="I1761" s="165"/>
      <c r="J1761" s="165"/>
      <c r="K1761" s="165"/>
      <c r="L1761" s="165"/>
      <c r="M1761" s="165"/>
      <c r="N1761" s="165"/>
      <c r="O1761" s="166"/>
    </row>
    <row r="1762" ht="1.5" customHeight="1">
      <c r="A1762" s="155"/>
      <c r="B1762" s="156"/>
      <c r="C1762" s="157"/>
      <c r="D1762" s="158"/>
      <c r="E1762" s="159"/>
      <c r="F1762" s="159"/>
      <c r="G1762" s="159"/>
      <c r="H1762" s="159"/>
      <c r="I1762" s="159"/>
      <c r="J1762" s="159"/>
      <c r="K1762" s="159"/>
      <c r="L1762" s="159"/>
      <c r="M1762" s="159"/>
      <c r="N1762" s="159"/>
      <c r="O1762" s="160"/>
    </row>
    <row r="1763" ht="1.5" customHeight="1">
      <c r="A1763" s="161"/>
      <c r="B1763" s="162"/>
      <c r="C1763" s="163"/>
      <c r="D1763" s="164"/>
      <c r="E1763" s="165"/>
      <c r="F1763" s="165"/>
      <c r="G1763" s="165"/>
      <c r="H1763" s="165"/>
      <c r="I1763" s="165"/>
      <c r="J1763" s="165"/>
      <c r="K1763" s="165"/>
      <c r="L1763" s="165"/>
      <c r="M1763" s="165"/>
      <c r="N1763" s="165"/>
      <c r="O1763" s="166"/>
    </row>
    <row r="1764" ht="1.5" customHeight="1">
      <c r="A1764" s="155"/>
      <c r="B1764" s="156"/>
      <c r="C1764" s="157"/>
      <c r="D1764" s="158"/>
      <c r="E1764" s="159"/>
      <c r="F1764" s="159"/>
      <c r="G1764" s="159"/>
      <c r="H1764" s="159"/>
      <c r="I1764" s="159"/>
      <c r="J1764" s="159"/>
      <c r="K1764" s="159"/>
      <c r="L1764" s="159"/>
      <c r="M1764" s="159"/>
      <c r="N1764" s="159"/>
      <c r="O1764" s="160"/>
    </row>
    <row r="1765" ht="1.5" customHeight="1">
      <c r="A1765" s="161"/>
      <c r="B1765" s="162"/>
      <c r="C1765" s="163"/>
      <c r="D1765" s="164"/>
      <c r="E1765" s="165"/>
      <c r="F1765" s="165"/>
      <c r="G1765" s="165"/>
      <c r="H1765" s="165"/>
      <c r="I1765" s="165"/>
      <c r="J1765" s="165"/>
      <c r="K1765" s="165"/>
      <c r="L1765" s="165"/>
      <c r="M1765" s="165"/>
      <c r="N1765" s="165"/>
      <c r="O1765" s="166"/>
    </row>
    <row r="1766" ht="1.5" customHeight="1">
      <c r="A1766" s="155"/>
      <c r="B1766" s="156"/>
      <c r="C1766" s="157"/>
      <c r="D1766" s="158"/>
      <c r="E1766" s="159"/>
      <c r="F1766" s="159"/>
      <c r="G1766" s="159"/>
      <c r="H1766" s="159"/>
      <c r="I1766" s="159"/>
      <c r="J1766" s="159"/>
      <c r="K1766" s="159"/>
      <c r="L1766" s="159"/>
      <c r="M1766" s="159"/>
      <c r="N1766" s="159"/>
      <c r="O1766" s="160"/>
    </row>
    <row r="1767" ht="1.5" customHeight="1">
      <c r="A1767" s="161"/>
      <c r="B1767" s="162"/>
      <c r="C1767" s="163"/>
      <c r="D1767" s="164"/>
      <c r="E1767" s="165"/>
      <c r="F1767" s="165"/>
      <c r="G1767" s="165"/>
      <c r="H1767" s="165"/>
      <c r="I1767" s="165"/>
      <c r="J1767" s="165"/>
      <c r="K1767" s="165"/>
      <c r="L1767" s="165"/>
      <c r="M1767" s="165"/>
      <c r="N1767" s="165"/>
      <c r="O1767" s="166"/>
    </row>
    <row r="1768" ht="1.5" customHeight="1">
      <c r="A1768" s="155"/>
      <c r="B1768" s="156"/>
      <c r="C1768" s="157"/>
      <c r="D1768" s="158"/>
      <c r="E1768" s="159"/>
      <c r="F1768" s="159"/>
      <c r="G1768" s="159"/>
      <c r="H1768" s="159"/>
      <c r="I1768" s="159"/>
      <c r="J1768" s="159"/>
      <c r="K1768" s="159"/>
      <c r="L1768" s="159"/>
      <c r="M1768" s="159"/>
      <c r="N1768" s="159"/>
      <c r="O1768" s="160"/>
    </row>
    <row r="1769" ht="1.5" customHeight="1">
      <c r="A1769" s="161"/>
      <c r="B1769" s="162"/>
      <c r="C1769" s="163"/>
      <c r="D1769" s="164"/>
      <c r="E1769" s="165"/>
      <c r="F1769" s="165"/>
      <c r="G1769" s="165"/>
      <c r="H1769" s="165"/>
      <c r="I1769" s="165"/>
      <c r="J1769" s="165"/>
      <c r="K1769" s="165"/>
      <c r="L1769" s="165"/>
      <c r="M1769" s="165"/>
      <c r="N1769" s="165"/>
      <c r="O1769" s="166"/>
    </row>
    <row r="1770" ht="1.5" customHeight="1">
      <c r="A1770" s="155"/>
      <c r="B1770" s="156"/>
      <c r="C1770" s="157"/>
      <c r="D1770" s="158"/>
      <c r="E1770" s="159"/>
      <c r="F1770" s="159"/>
      <c r="G1770" s="159"/>
      <c r="H1770" s="159"/>
      <c r="I1770" s="159"/>
      <c r="J1770" s="159"/>
      <c r="K1770" s="159"/>
      <c r="L1770" s="159"/>
      <c r="M1770" s="159"/>
      <c r="N1770" s="159"/>
      <c r="O1770" s="160"/>
    </row>
    <row r="1771" ht="1.5" customHeight="1">
      <c r="A1771" s="161"/>
      <c r="B1771" s="162"/>
      <c r="C1771" s="163"/>
      <c r="D1771" s="164"/>
      <c r="E1771" s="165"/>
      <c r="F1771" s="165"/>
      <c r="G1771" s="165"/>
      <c r="H1771" s="165"/>
      <c r="I1771" s="165"/>
      <c r="J1771" s="165"/>
      <c r="K1771" s="165"/>
      <c r="L1771" s="165"/>
      <c r="M1771" s="165"/>
      <c r="N1771" s="165"/>
      <c r="O1771" s="166"/>
    </row>
    <row r="1772" ht="1.5" customHeight="1">
      <c r="A1772" s="155"/>
      <c r="B1772" s="156"/>
      <c r="C1772" s="157"/>
      <c r="D1772" s="158"/>
      <c r="E1772" s="159"/>
      <c r="F1772" s="159"/>
      <c r="G1772" s="159"/>
      <c r="H1772" s="159"/>
      <c r="I1772" s="159"/>
      <c r="J1772" s="159"/>
      <c r="K1772" s="159"/>
      <c r="L1772" s="159"/>
      <c r="M1772" s="159"/>
      <c r="N1772" s="159"/>
      <c r="O1772" s="160"/>
    </row>
    <row r="1773" ht="1.5" customHeight="1">
      <c r="A1773" s="161"/>
      <c r="B1773" s="162"/>
      <c r="C1773" s="163"/>
      <c r="D1773" s="164"/>
      <c r="E1773" s="165"/>
      <c r="F1773" s="165"/>
      <c r="G1773" s="165"/>
      <c r="H1773" s="165"/>
      <c r="I1773" s="165"/>
      <c r="J1773" s="165"/>
      <c r="K1773" s="165"/>
      <c r="L1773" s="165"/>
      <c r="M1773" s="165"/>
      <c r="N1773" s="165"/>
      <c r="O1773" s="166"/>
    </row>
    <row r="1774" ht="1.5" customHeight="1">
      <c r="A1774" s="155"/>
      <c r="B1774" s="156"/>
      <c r="C1774" s="157"/>
      <c r="D1774" s="158"/>
      <c r="E1774" s="159"/>
      <c r="F1774" s="159"/>
      <c r="G1774" s="159"/>
      <c r="H1774" s="159"/>
      <c r="I1774" s="159"/>
      <c r="J1774" s="159"/>
      <c r="K1774" s="159"/>
      <c r="L1774" s="159"/>
      <c r="M1774" s="159"/>
      <c r="N1774" s="159"/>
      <c r="O1774" s="160"/>
    </row>
    <row r="1775" ht="1.5" customHeight="1">
      <c r="A1775" s="161"/>
      <c r="B1775" s="162"/>
      <c r="C1775" s="163"/>
      <c r="D1775" s="164"/>
      <c r="E1775" s="165"/>
      <c r="F1775" s="165"/>
      <c r="G1775" s="165"/>
      <c r="H1775" s="165"/>
      <c r="I1775" s="165"/>
      <c r="J1775" s="165"/>
      <c r="K1775" s="165"/>
      <c r="L1775" s="165"/>
      <c r="M1775" s="165"/>
      <c r="N1775" s="165"/>
      <c r="O1775" s="166"/>
    </row>
    <row r="1776" ht="1.5" customHeight="1">
      <c r="A1776" s="155"/>
      <c r="B1776" s="156"/>
      <c r="C1776" s="157"/>
      <c r="D1776" s="158"/>
      <c r="E1776" s="159"/>
      <c r="F1776" s="159"/>
      <c r="G1776" s="159"/>
      <c r="H1776" s="159"/>
      <c r="I1776" s="159"/>
      <c r="J1776" s="159"/>
      <c r="K1776" s="159"/>
      <c r="L1776" s="159"/>
      <c r="M1776" s="159"/>
      <c r="N1776" s="159"/>
      <c r="O1776" s="160"/>
    </row>
    <row r="1777" ht="1.5" customHeight="1">
      <c r="A1777" s="161"/>
      <c r="B1777" s="162"/>
      <c r="C1777" s="163"/>
      <c r="D1777" s="164"/>
      <c r="E1777" s="165"/>
      <c r="F1777" s="165"/>
      <c r="G1777" s="165"/>
      <c r="H1777" s="165"/>
      <c r="I1777" s="165"/>
      <c r="J1777" s="165"/>
      <c r="K1777" s="165"/>
      <c r="L1777" s="165"/>
      <c r="M1777" s="165"/>
      <c r="N1777" s="165"/>
      <c r="O1777" s="166"/>
    </row>
    <row r="1778" ht="1.5" customHeight="1">
      <c r="A1778" s="155"/>
      <c r="B1778" s="156"/>
      <c r="C1778" s="157"/>
      <c r="D1778" s="158"/>
      <c r="E1778" s="159"/>
      <c r="F1778" s="159"/>
      <c r="G1778" s="159"/>
      <c r="H1778" s="159"/>
      <c r="I1778" s="159"/>
      <c r="J1778" s="159"/>
      <c r="K1778" s="159"/>
      <c r="L1778" s="159"/>
      <c r="M1778" s="159"/>
      <c r="N1778" s="159"/>
      <c r="O1778" s="160"/>
    </row>
    <row r="1779" ht="1.5" customHeight="1">
      <c r="A1779" s="161"/>
      <c r="B1779" s="162"/>
      <c r="C1779" s="163"/>
      <c r="D1779" s="164"/>
      <c r="E1779" s="165"/>
      <c r="F1779" s="165"/>
      <c r="G1779" s="165"/>
      <c r="H1779" s="165"/>
      <c r="I1779" s="165"/>
      <c r="J1779" s="165"/>
      <c r="K1779" s="165"/>
      <c r="L1779" s="165"/>
      <c r="M1779" s="165"/>
      <c r="N1779" s="165"/>
      <c r="O1779" s="166"/>
    </row>
    <row r="1780" ht="1.5" customHeight="1">
      <c r="A1780" s="155"/>
      <c r="B1780" s="156"/>
      <c r="C1780" s="157"/>
      <c r="D1780" s="158"/>
      <c r="E1780" s="159"/>
      <c r="F1780" s="159"/>
      <c r="G1780" s="159"/>
      <c r="H1780" s="159"/>
      <c r="I1780" s="159"/>
      <c r="J1780" s="159"/>
      <c r="K1780" s="159"/>
      <c r="L1780" s="159"/>
      <c r="M1780" s="159"/>
      <c r="N1780" s="159"/>
      <c r="O1780" s="160"/>
    </row>
    <row r="1781" ht="1.5" customHeight="1">
      <c r="A1781" s="161"/>
      <c r="B1781" s="162"/>
      <c r="C1781" s="163"/>
      <c r="D1781" s="164"/>
      <c r="E1781" s="165"/>
      <c r="F1781" s="165"/>
      <c r="G1781" s="165"/>
      <c r="H1781" s="165"/>
      <c r="I1781" s="165"/>
      <c r="J1781" s="165"/>
      <c r="K1781" s="165"/>
      <c r="L1781" s="165"/>
      <c r="M1781" s="165"/>
      <c r="N1781" s="165"/>
      <c r="O1781" s="166"/>
    </row>
    <row r="1782" ht="1.5" customHeight="1">
      <c r="A1782" s="155"/>
      <c r="B1782" s="156"/>
      <c r="C1782" s="157"/>
      <c r="D1782" s="158"/>
      <c r="E1782" s="159"/>
      <c r="F1782" s="159"/>
      <c r="G1782" s="159"/>
      <c r="H1782" s="159"/>
      <c r="I1782" s="159"/>
      <c r="J1782" s="159"/>
      <c r="K1782" s="159"/>
      <c r="L1782" s="159"/>
      <c r="M1782" s="159"/>
      <c r="N1782" s="159"/>
      <c r="O1782" s="160"/>
    </row>
    <row r="1783" ht="1.5" customHeight="1">
      <c r="A1783" s="161"/>
      <c r="B1783" s="162"/>
      <c r="C1783" s="163"/>
      <c r="D1783" s="164"/>
      <c r="E1783" s="165"/>
      <c r="F1783" s="165"/>
      <c r="G1783" s="165"/>
      <c r="H1783" s="165"/>
      <c r="I1783" s="165"/>
      <c r="J1783" s="165"/>
      <c r="K1783" s="165"/>
      <c r="L1783" s="165"/>
      <c r="M1783" s="165"/>
      <c r="N1783" s="165"/>
      <c r="O1783" s="166"/>
    </row>
    <row r="1784" ht="1.5" customHeight="1">
      <c r="A1784" s="155"/>
      <c r="B1784" s="156"/>
      <c r="C1784" s="157"/>
      <c r="D1784" s="158"/>
      <c r="E1784" s="159"/>
      <c r="F1784" s="159"/>
      <c r="G1784" s="159"/>
      <c r="H1784" s="159"/>
      <c r="I1784" s="159"/>
      <c r="J1784" s="159"/>
      <c r="K1784" s="159"/>
      <c r="L1784" s="159"/>
      <c r="M1784" s="159"/>
      <c r="N1784" s="159"/>
      <c r="O1784" s="160"/>
    </row>
    <row r="1785" ht="1.5" customHeight="1">
      <c r="A1785" s="161"/>
      <c r="B1785" s="162"/>
      <c r="C1785" s="163"/>
      <c r="D1785" s="164"/>
      <c r="E1785" s="165"/>
      <c r="F1785" s="165"/>
      <c r="G1785" s="165"/>
      <c r="H1785" s="165"/>
      <c r="I1785" s="165"/>
      <c r="J1785" s="165"/>
      <c r="K1785" s="165"/>
      <c r="L1785" s="165"/>
      <c r="M1785" s="165"/>
      <c r="N1785" s="165"/>
      <c r="O1785" s="166"/>
    </row>
    <row r="1786" ht="1.5" customHeight="1">
      <c r="A1786" s="155"/>
      <c r="B1786" s="156"/>
      <c r="C1786" s="157"/>
      <c r="D1786" s="158"/>
      <c r="E1786" s="159"/>
      <c r="F1786" s="159"/>
      <c r="G1786" s="159"/>
      <c r="H1786" s="159"/>
      <c r="I1786" s="159"/>
      <c r="J1786" s="159"/>
      <c r="K1786" s="159"/>
      <c r="L1786" s="159"/>
      <c r="M1786" s="159"/>
      <c r="N1786" s="159"/>
      <c r="O1786" s="160"/>
    </row>
    <row r="1787" ht="1.5" customHeight="1">
      <c r="A1787" s="161"/>
      <c r="B1787" s="162"/>
      <c r="C1787" s="163"/>
      <c r="D1787" s="164"/>
      <c r="E1787" s="165"/>
      <c r="F1787" s="165"/>
      <c r="G1787" s="165"/>
      <c r="H1787" s="165"/>
      <c r="I1787" s="165"/>
      <c r="J1787" s="165"/>
      <c r="K1787" s="165"/>
      <c r="L1787" s="165"/>
      <c r="M1787" s="165"/>
      <c r="N1787" s="165"/>
      <c r="O1787" s="166"/>
    </row>
    <row r="1788" ht="1.5" customHeight="1">
      <c r="A1788" s="155"/>
      <c r="B1788" s="156"/>
      <c r="C1788" s="157"/>
      <c r="D1788" s="158"/>
      <c r="E1788" s="159"/>
      <c r="F1788" s="159"/>
      <c r="G1788" s="159"/>
      <c r="H1788" s="159"/>
      <c r="I1788" s="159"/>
      <c r="J1788" s="159"/>
      <c r="K1788" s="159"/>
      <c r="L1788" s="159"/>
      <c r="M1788" s="159"/>
      <c r="N1788" s="159"/>
      <c r="O1788" s="160"/>
    </row>
    <row r="1789" ht="1.5" customHeight="1">
      <c r="A1789" s="161"/>
      <c r="B1789" s="162"/>
      <c r="C1789" s="163"/>
      <c r="D1789" s="164"/>
      <c r="E1789" s="165"/>
      <c r="F1789" s="165"/>
      <c r="G1789" s="165"/>
      <c r="H1789" s="165"/>
      <c r="I1789" s="165"/>
      <c r="J1789" s="165"/>
      <c r="K1789" s="165"/>
      <c r="L1789" s="165"/>
      <c r="M1789" s="165"/>
      <c r="N1789" s="165"/>
      <c r="O1789" s="166"/>
    </row>
    <row r="1790" ht="1.5" customHeight="1">
      <c r="A1790" s="155"/>
      <c r="B1790" s="156"/>
      <c r="C1790" s="157"/>
      <c r="D1790" s="158"/>
      <c r="E1790" s="159"/>
      <c r="F1790" s="159"/>
      <c r="G1790" s="159"/>
      <c r="H1790" s="159"/>
      <c r="I1790" s="159"/>
      <c r="J1790" s="159"/>
      <c r="K1790" s="159"/>
      <c r="L1790" s="159"/>
      <c r="M1790" s="159"/>
      <c r="N1790" s="159"/>
      <c r="O1790" s="160"/>
    </row>
    <row r="1791" ht="1.5" customHeight="1">
      <c r="A1791" s="161"/>
      <c r="B1791" s="162"/>
      <c r="C1791" s="163"/>
      <c r="D1791" s="164"/>
      <c r="E1791" s="165"/>
      <c r="F1791" s="165"/>
      <c r="G1791" s="165"/>
      <c r="H1791" s="165"/>
      <c r="I1791" s="165"/>
      <c r="J1791" s="165"/>
      <c r="K1791" s="165"/>
      <c r="L1791" s="165"/>
      <c r="M1791" s="165"/>
      <c r="N1791" s="165"/>
      <c r="O1791" s="166"/>
    </row>
    <row r="1792" ht="1.5" customHeight="1">
      <c r="A1792" s="155"/>
      <c r="B1792" s="156"/>
      <c r="C1792" s="157"/>
      <c r="D1792" s="158"/>
      <c r="E1792" s="159"/>
      <c r="F1792" s="159"/>
      <c r="G1792" s="159"/>
      <c r="H1792" s="159"/>
      <c r="I1792" s="159"/>
      <c r="J1792" s="159"/>
      <c r="K1792" s="159"/>
      <c r="L1792" s="159"/>
      <c r="M1792" s="159"/>
      <c r="N1792" s="159"/>
      <c r="O1792" s="160"/>
    </row>
    <row r="1793" ht="1.5" customHeight="1">
      <c r="A1793" s="161"/>
      <c r="B1793" s="162"/>
      <c r="C1793" s="163"/>
      <c r="D1793" s="164"/>
      <c r="E1793" s="165"/>
      <c r="F1793" s="165"/>
      <c r="G1793" s="165"/>
      <c r="H1793" s="165"/>
      <c r="I1793" s="165"/>
      <c r="J1793" s="165"/>
      <c r="K1793" s="165"/>
      <c r="L1793" s="165"/>
      <c r="M1793" s="165"/>
      <c r="N1793" s="165"/>
      <c r="O1793" s="166"/>
    </row>
    <row r="1794" ht="1.5" customHeight="1">
      <c r="A1794" s="155"/>
      <c r="B1794" s="156"/>
      <c r="C1794" s="157"/>
      <c r="D1794" s="158"/>
      <c r="E1794" s="159"/>
      <c r="F1794" s="159"/>
      <c r="G1794" s="159"/>
      <c r="H1794" s="159"/>
      <c r="I1794" s="159"/>
      <c r="J1794" s="159"/>
      <c r="K1794" s="159"/>
      <c r="L1794" s="159"/>
      <c r="M1794" s="159"/>
      <c r="N1794" s="159"/>
      <c r="O1794" s="160"/>
    </row>
    <row r="1795" ht="1.5" customHeight="1">
      <c r="A1795" s="161"/>
      <c r="B1795" s="162"/>
      <c r="C1795" s="163"/>
      <c r="D1795" s="164"/>
      <c r="E1795" s="165"/>
      <c r="F1795" s="165"/>
      <c r="G1795" s="165"/>
      <c r="H1795" s="165"/>
      <c r="I1795" s="165"/>
      <c r="J1795" s="165"/>
      <c r="K1795" s="165"/>
      <c r="L1795" s="165"/>
      <c r="M1795" s="165"/>
      <c r="N1795" s="165"/>
      <c r="O1795" s="166"/>
    </row>
    <row r="1796" ht="1.5" customHeight="1">
      <c r="A1796" s="155"/>
      <c r="B1796" s="156"/>
      <c r="C1796" s="157"/>
      <c r="D1796" s="158"/>
      <c r="E1796" s="159"/>
      <c r="F1796" s="159"/>
      <c r="G1796" s="159"/>
      <c r="H1796" s="159"/>
      <c r="I1796" s="159"/>
      <c r="J1796" s="159"/>
      <c r="K1796" s="159"/>
      <c r="L1796" s="159"/>
      <c r="M1796" s="159"/>
      <c r="N1796" s="159"/>
      <c r="O1796" s="160"/>
    </row>
    <row r="1797" ht="1.5" customHeight="1">
      <c r="A1797" s="161"/>
      <c r="B1797" s="162"/>
      <c r="C1797" s="163"/>
      <c r="D1797" s="164"/>
      <c r="E1797" s="165"/>
      <c r="F1797" s="165"/>
      <c r="G1797" s="165"/>
      <c r="H1797" s="165"/>
      <c r="I1797" s="165"/>
      <c r="J1797" s="165"/>
      <c r="K1797" s="165"/>
      <c r="L1797" s="165"/>
      <c r="M1797" s="165"/>
      <c r="N1797" s="165"/>
      <c r="O1797" s="166"/>
    </row>
    <row r="1798" ht="1.5" customHeight="1">
      <c r="A1798" s="155"/>
      <c r="B1798" s="156"/>
      <c r="C1798" s="157"/>
      <c r="D1798" s="158"/>
      <c r="E1798" s="159"/>
      <c r="F1798" s="159"/>
      <c r="G1798" s="159"/>
      <c r="H1798" s="159"/>
      <c r="I1798" s="159"/>
      <c r="J1798" s="159"/>
      <c r="K1798" s="159"/>
      <c r="L1798" s="159"/>
      <c r="M1798" s="159"/>
      <c r="N1798" s="159"/>
      <c r="O1798" s="160"/>
    </row>
    <row r="1799" ht="1.5" customHeight="1">
      <c r="A1799" s="161"/>
      <c r="B1799" s="162"/>
      <c r="C1799" s="163"/>
      <c r="D1799" s="164"/>
      <c r="E1799" s="165"/>
      <c r="F1799" s="165"/>
      <c r="G1799" s="165"/>
      <c r="H1799" s="165"/>
      <c r="I1799" s="165"/>
      <c r="J1799" s="165"/>
      <c r="K1799" s="165"/>
      <c r="L1799" s="165"/>
      <c r="M1799" s="165"/>
      <c r="N1799" s="165"/>
      <c r="O1799" s="166"/>
    </row>
    <row r="1800" ht="1.5" customHeight="1">
      <c r="A1800" s="155"/>
      <c r="B1800" s="156"/>
      <c r="C1800" s="157"/>
      <c r="D1800" s="158"/>
      <c r="E1800" s="159"/>
      <c r="F1800" s="159"/>
      <c r="G1800" s="159"/>
      <c r="H1800" s="159"/>
      <c r="I1800" s="159"/>
      <c r="J1800" s="159"/>
      <c r="K1800" s="159"/>
      <c r="L1800" s="159"/>
      <c r="M1800" s="159"/>
      <c r="N1800" s="159"/>
      <c r="O1800" s="160"/>
    </row>
    <row r="1801" ht="1.5" customHeight="1">
      <c r="A1801" s="161"/>
      <c r="B1801" s="162"/>
      <c r="C1801" s="163"/>
      <c r="D1801" s="164"/>
      <c r="E1801" s="165"/>
      <c r="F1801" s="165"/>
      <c r="G1801" s="165"/>
      <c r="H1801" s="165"/>
      <c r="I1801" s="165"/>
      <c r="J1801" s="165"/>
      <c r="K1801" s="165"/>
      <c r="L1801" s="165"/>
      <c r="M1801" s="165"/>
      <c r="N1801" s="165"/>
      <c r="O1801" s="166"/>
    </row>
    <row r="1802" ht="1.5" customHeight="1">
      <c r="A1802" s="155"/>
      <c r="B1802" s="156"/>
      <c r="C1802" s="157"/>
      <c r="D1802" s="158"/>
      <c r="E1802" s="159"/>
      <c r="F1802" s="159"/>
      <c r="G1802" s="159"/>
      <c r="H1802" s="159"/>
      <c r="I1802" s="159"/>
      <c r="J1802" s="159"/>
      <c r="K1802" s="159"/>
      <c r="L1802" s="159"/>
      <c r="M1802" s="159"/>
      <c r="N1802" s="159"/>
      <c r="O1802" s="160"/>
    </row>
    <row r="1803" ht="1.5" customHeight="1">
      <c r="A1803" s="161"/>
      <c r="B1803" s="162"/>
      <c r="C1803" s="163"/>
      <c r="D1803" s="164"/>
      <c r="E1803" s="165"/>
      <c r="F1803" s="165"/>
      <c r="G1803" s="165"/>
      <c r="H1803" s="165"/>
      <c r="I1803" s="165"/>
      <c r="J1803" s="165"/>
      <c r="K1803" s="165"/>
      <c r="L1803" s="165"/>
      <c r="M1803" s="165"/>
      <c r="N1803" s="165"/>
      <c r="O1803" s="166"/>
    </row>
    <row r="1804" ht="1.5" customHeight="1">
      <c r="A1804" s="155"/>
      <c r="B1804" s="156"/>
      <c r="C1804" s="157"/>
      <c r="D1804" s="158"/>
      <c r="E1804" s="159"/>
      <c r="F1804" s="159"/>
      <c r="G1804" s="159"/>
      <c r="H1804" s="159"/>
      <c r="I1804" s="159"/>
      <c r="J1804" s="159"/>
      <c r="K1804" s="159"/>
      <c r="L1804" s="159"/>
      <c r="M1804" s="159"/>
      <c r="N1804" s="159"/>
      <c r="O1804" s="160"/>
    </row>
    <row r="1805" ht="1.5" customHeight="1">
      <c r="A1805" s="161"/>
      <c r="B1805" s="162"/>
      <c r="C1805" s="163"/>
      <c r="D1805" s="164"/>
      <c r="E1805" s="165"/>
      <c r="F1805" s="165"/>
      <c r="G1805" s="165"/>
      <c r="H1805" s="165"/>
      <c r="I1805" s="165"/>
      <c r="J1805" s="165"/>
      <c r="K1805" s="165"/>
      <c r="L1805" s="165"/>
      <c r="M1805" s="165"/>
      <c r="N1805" s="165"/>
      <c r="O1805" s="166"/>
    </row>
    <row r="1806" ht="1.5" customHeight="1">
      <c r="A1806" s="155"/>
      <c r="B1806" s="156"/>
      <c r="C1806" s="157"/>
      <c r="D1806" s="158"/>
      <c r="E1806" s="159"/>
      <c r="F1806" s="159"/>
      <c r="G1806" s="159"/>
      <c r="H1806" s="159"/>
      <c r="I1806" s="159"/>
      <c r="J1806" s="159"/>
      <c r="K1806" s="159"/>
      <c r="L1806" s="159"/>
      <c r="M1806" s="159"/>
      <c r="N1806" s="159"/>
      <c r="O1806" s="160"/>
    </row>
    <row r="1807" ht="1.5" customHeight="1">
      <c r="A1807" s="161"/>
      <c r="B1807" s="162"/>
      <c r="C1807" s="163"/>
      <c r="D1807" s="164"/>
      <c r="E1807" s="165"/>
      <c r="F1807" s="165"/>
      <c r="G1807" s="165"/>
      <c r="H1807" s="165"/>
      <c r="I1807" s="165"/>
      <c r="J1807" s="165"/>
      <c r="K1807" s="165"/>
      <c r="L1807" s="165"/>
      <c r="M1807" s="165"/>
      <c r="N1807" s="165"/>
      <c r="O1807" s="166"/>
    </row>
    <row r="1808" ht="1.5" customHeight="1">
      <c r="A1808" s="155"/>
      <c r="B1808" s="156"/>
      <c r="C1808" s="157"/>
      <c r="D1808" s="158"/>
      <c r="E1808" s="159"/>
      <c r="F1808" s="159"/>
      <c r="G1808" s="159"/>
      <c r="H1808" s="159"/>
      <c r="I1808" s="159"/>
      <c r="J1808" s="159"/>
      <c r="K1808" s="159"/>
      <c r="L1808" s="159"/>
      <c r="M1808" s="159"/>
      <c r="N1808" s="159"/>
      <c r="O1808" s="160"/>
    </row>
    <row r="1809" ht="1.5" customHeight="1">
      <c r="A1809" s="161"/>
      <c r="B1809" s="162"/>
      <c r="C1809" s="163"/>
      <c r="D1809" s="164"/>
      <c r="E1809" s="165"/>
      <c r="F1809" s="165"/>
      <c r="G1809" s="165"/>
      <c r="H1809" s="165"/>
      <c r="I1809" s="165"/>
      <c r="J1809" s="165"/>
      <c r="K1809" s="165"/>
      <c r="L1809" s="165"/>
      <c r="M1809" s="165"/>
      <c r="N1809" s="165"/>
      <c r="O1809" s="166"/>
    </row>
    <row r="1810" ht="1.5" customHeight="1">
      <c r="A1810" s="155"/>
      <c r="B1810" s="156"/>
      <c r="C1810" s="157"/>
      <c r="D1810" s="158"/>
      <c r="E1810" s="159"/>
      <c r="F1810" s="159"/>
      <c r="G1810" s="159"/>
      <c r="H1810" s="159"/>
      <c r="I1810" s="159"/>
      <c r="J1810" s="159"/>
      <c r="K1810" s="159"/>
      <c r="L1810" s="159"/>
      <c r="M1810" s="159"/>
      <c r="N1810" s="159"/>
      <c r="O1810" s="160"/>
    </row>
    <row r="1811" ht="1.5" customHeight="1">
      <c r="A1811" s="161"/>
      <c r="B1811" s="162"/>
      <c r="C1811" s="163"/>
      <c r="D1811" s="164"/>
      <c r="E1811" s="165"/>
      <c r="F1811" s="165"/>
      <c r="G1811" s="165"/>
      <c r="H1811" s="165"/>
      <c r="I1811" s="165"/>
      <c r="J1811" s="165"/>
      <c r="K1811" s="165"/>
      <c r="L1811" s="165"/>
      <c r="M1811" s="165"/>
      <c r="N1811" s="165"/>
      <c r="O1811" s="166"/>
    </row>
    <row r="1812" ht="1.5" customHeight="1">
      <c r="A1812" s="155"/>
      <c r="B1812" s="156"/>
      <c r="C1812" s="157"/>
      <c r="D1812" s="158"/>
      <c r="E1812" s="159"/>
      <c r="F1812" s="159"/>
      <c r="G1812" s="159"/>
      <c r="H1812" s="159"/>
      <c r="I1812" s="159"/>
      <c r="J1812" s="159"/>
      <c r="K1812" s="159"/>
      <c r="L1812" s="159"/>
      <c r="M1812" s="159"/>
      <c r="N1812" s="159"/>
      <c r="O1812" s="160"/>
    </row>
    <row r="1813" ht="1.5" customHeight="1">
      <c r="A1813" s="161"/>
      <c r="B1813" s="162"/>
      <c r="C1813" s="163"/>
      <c r="D1813" s="164"/>
      <c r="E1813" s="165"/>
      <c r="F1813" s="165"/>
      <c r="G1813" s="165"/>
      <c r="H1813" s="165"/>
      <c r="I1813" s="165"/>
      <c r="J1813" s="165"/>
      <c r="K1813" s="165"/>
      <c r="L1813" s="165"/>
      <c r="M1813" s="165"/>
      <c r="N1813" s="165"/>
      <c r="O1813" s="166"/>
    </row>
    <row r="1814" ht="1.5" customHeight="1">
      <c r="A1814" s="155"/>
      <c r="B1814" s="156"/>
      <c r="C1814" s="157"/>
      <c r="D1814" s="158"/>
      <c r="E1814" s="159"/>
      <c r="F1814" s="159"/>
      <c r="G1814" s="159"/>
      <c r="H1814" s="159"/>
      <c r="I1814" s="159"/>
      <c r="J1814" s="159"/>
      <c r="K1814" s="159"/>
      <c r="L1814" s="159"/>
      <c r="M1814" s="159"/>
      <c r="N1814" s="159"/>
      <c r="O1814" s="160"/>
    </row>
    <row r="1815" ht="1.5" customHeight="1">
      <c r="A1815" s="161"/>
      <c r="B1815" s="162"/>
      <c r="C1815" s="163"/>
      <c r="D1815" s="164"/>
      <c r="E1815" s="165"/>
      <c r="F1815" s="165"/>
      <c r="G1815" s="165"/>
      <c r="H1815" s="165"/>
      <c r="I1815" s="165"/>
      <c r="J1815" s="165"/>
      <c r="K1815" s="165"/>
      <c r="L1815" s="165"/>
      <c r="M1815" s="165"/>
      <c r="N1815" s="165"/>
      <c r="O1815" s="166"/>
    </row>
    <row r="1816" ht="1.5" customHeight="1">
      <c r="A1816" s="155"/>
      <c r="B1816" s="156"/>
      <c r="C1816" s="157"/>
      <c r="D1816" s="158"/>
      <c r="E1816" s="159"/>
      <c r="F1816" s="159"/>
      <c r="G1816" s="159"/>
      <c r="H1816" s="159"/>
      <c r="I1816" s="159"/>
      <c r="J1816" s="159"/>
      <c r="K1816" s="159"/>
      <c r="L1816" s="159"/>
      <c r="M1816" s="159"/>
      <c r="N1816" s="159"/>
      <c r="O1816" s="160"/>
    </row>
    <row r="1817" ht="1.5" customHeight="1">
      <c r="A1817" s="161"/>
      <c r="B1817" s="162"/>
      <c r="C1817" s="163"/>
      <c r="D1817" s="164"/>
      <c r="E1817" s="165"/>
      <c r="F1817" s="165"/>
      <c r="G1817" s="165"/>
      <c r="H1817" s="165"/>
      <c r="I1817" s="165"/>
      <c r="J1817" s="165"/>
      <c r="K1817" s="165"/>
      <c r="L1817" s="165"/>
      <c r="M1817" s="165"/>
      <c r="N1817" s="165"/>
      <c r="O1817" s="166"/>
    </row>
    <row r="1818" ht="1.5" customHeight="1">
      <c r="A1818" s="155"/>
      <c r="B1818" s="156"/>
      <c r="C1818" s="157"/>
      <c r="D1818" s="158"/>
      <c r="E1818" s="159"/>
      <c r="F1818" s="159"/>
      <c r="G1818" s="159"/>
      <c r="H1818" s="159"/>
      <c r="I1818" s="159"/>
      <c r="J1818" s="159"/>
      <c r="K1818" s="159"/>
      <c r="L1818" s="159"/>
      <c r="M1818" s="159"/>
      <c r="N1818" s="159"/>
      <c r="O1818" s="160"/>
    </row>
    <row r="1819" ht="1.5" customHeight="1">
      <c r="A1819" s="161"/>
      <c r="B1819" s="162"/>
      <c r="C1819" s="163"/>
      <c r="D1819" s="164"/>
      <c r="E1819" s="165"/>
      <c r="F1819" s="165"/>
      <c r="G1819" s="165"/>
      <c r="H1819" s="165"/>
      <c r="I1819" s="165"/>
      <c r="J1819" s="165"/>
      <c r="K1819" s="165"/>
      <c r="L1819" s="165"/>
      <c r="M1819" s="165"/>
      <c r="N1819" s="165"/>
      <c r="O1819" s="166"/>
    </row>
    <row r="1820" ht="1.5" customHeight="1">
      <c r="A1820" s="155"/>
      <c r="B1820" s="156"/>
      <c r="C1820" s="157"/>
      <c r="D1820" s="158"/>
      <c r="E1820" s="159"/>
      <c r="F1820" s="159"/>
      <c r="G1820" s="159"/>
      <c r="H1820" s="159"/>
      <c r="I1820" s="159"/>
      <c r="J1820" s="159"/>
      <c r="K1820" s="159"/>
      <c r="L1820" s="159"/>
      <c r="M1820" s="159"/>
      <c r="N1820" s="159"/>
      <c r="O1820" s="160"/>
    </row>
    <row r="1821" ht="1.5" customHeight="1">
      <c r="A1821" s="161"/>
      <c r="B1821" s="162"/>
      <c r="C1821" s="163"/>
      <c r="D1821" s="164"/>
      <c r="E1821" s="165"/>
      <c r="F1821" s="165"/>
      <c r="G1821" s="165"/>
      <c r="H1821" s="165"/>
      <c r="I1821" s="165"/>
      <c r="J1821" s="165"/>
      <c r="K1821" s="165"/>
      <c r="L1821" s="165"/>
      <c r="M1821" s="165"/>
      <c r="N1821" s="165"/>
      <c r="O1821" s="166"/>
    </row>
    <row r="1822" ht="1.5" customHeight="1">
      <c r="A1822" s="155"/>
      <c r="B1822" s="156"/>
      <c r="C1822" s="157"/>
      <c r="D1822" s="158"/>
      <c r="E1822" s="159"/>
      <c r="F1822" s="159"/>
      <c r="G1822" s="159"/>
      <c r="H1822" s="159"/>
      <c r="I1822" s="159"/>
      <c r="J1822" s="159"/>
      <c r="K1822" s="159"/>
      <c r="L1822" s="159"/>
      <c r="M1822" s="159"/>
      <c r="N1822" s="159"/>
      <c r="O1822" s="160"/>
    </row>
    <row r="1823" ht="1.5" customHeight="1">
      <c r="A1823" s="161"/>
      <c r="B1823" s="162"/>
      <c r="C1823" s="163"/>
      <c r="D1823" s="164"/>
      <c r="E1823" s="165"/>
      <c r="F1823" s="165"/>
      <c r="G1823" s="165"/>
      <c r="H1823" s="165"/>
      <c r="I1823" s="165"/>
      <c r="J1823" s="165"/>
      <c r="K1823" s="165"/>
      <c r="L1823" s="165"/>
      <c r="M1823" s="165"/>
      <c r="N1823" s="165"/>
      <c r="O1823" s="166"/>
    </row>
    <row r="1824" ht="1.5" customHeight="1">
      <c r="A1824" s="155"/>
      <c r="B1824" s="156"/>
      <c r="C1824" s="157"/>
      <c r="D1824" s="158"/>
      <c r="E1824" s="159"/>
      <c r="F1824" s="159"/>
      <c r="G1824" s="159"/>
      <c r="H1824" s="159"/>
      <c r="I1824" s="159"/>
      <c r="J1824" s="159"/>
      <c r="K1824" s="159"/>
      <c r="L1824" s="159"/>
      <c r="M1824" s="159"/>
      <c r="N1824" s="159"/>
      <c r="O1824" s="160"/>
    </row>
    <row r="1825" ht="1.5" customHeight="1">
      <c r="A1825" s="161"/>
      <c r="B1825" s="162"/>
      <c r="C1825" s="163"/>
      <c r="D1825" s="164"/>
      <c r="E1825" s="165"/>
      <c r="F1825" s="165"/>
      <c r="G1825" s="165"/>
      <c r="H1825" s="165"/>
      <c r="I1825" s="165"/>
      <c r="J1825" s="165"/>
      <c r="K1825" s="165"/>
      <c r="L1825" s="165"/>
      <c r="M1825" s="165"/>
      <c r="N1825" s="165"/>
      <c r="O1825" s="166"/>
    </row>
    <row r="1826" ht="1.5" customHeight="1">
      <c r="A1826" s="155"/>
      <c r="B1826" s="156"/>
      <c r="C1826" s="157"/>
      <c r="D1826" s="158"/>
      <c r="E1826" s="159"/>
      <c r="F1826" s="159"/>
      <c r="G1826" s="159"/>
      <c r="H1826" s="159"/>
      <c r="I1826" s="159"/>
      <c r="J1826" s="159"/>
      <c r="K1826" s="159"/>
      <c r="L1826" s="159"/>
      <c r="M1826" s="159"/>
      <c r="N1826" s="159"/>
      <c r="O1826" s="160"/>
    </row>
    <row r="1827" ht="1.5" customHeight="1">
      <c r="A1827" s="161"/>
      <c r="B1827" s="162"/>
      <c r="C1827" s="163"/>
      <c r="D1827" s="164"/>
      <c r="E1827" s="165"/>
      <c r="F1827" s="165"/>
      <c r="G1827" s="165"/>
      <c r="H1827" s="165"/>
      <c r="I1827" s="165"/>
      <c r="J1827" s="165"/>
      <c r="K1827" s="165"/>
      <c r="L1827" s="165"/>
      <c r="M1827" s="165"/>
      <c r="N1827" s="165"/>
      <c r="O1827" s="166"/>
    </row>
    <row r="1828" ht="1.5" customHeight="1">
      <c r="A1828" s="155"/>
      <c r="B1828" s="156"/>
      <c r="C1828" s="157"/>
      <c r="D1828" s="158"/>
      <c r="E1828" s="159"/>
      <c r="F1828" s="159"/>
      <c r="G1828" s="159"/>
      <c r="H1828" s="159"/>
      <c r="I1828" s="159"/>
      <c r="J1828" s="159"/>
      <c r="K1828" s="159"/>
      <c r="L1828" s="159"/>
      <c r="M1828" s="159"/>
      <c r="N1828" s="159"/>
      <c r="O1828" s="160"/>
    </row>
    <row r="1829" ht="1.5" customHeight="1">
      <c r="A1829" s="161"/>
      <c r="B1829" s="162"/>
      <c r="C1829" s="163"/>
      <c r="D1829" s="164"/>
      <c r="E1829" s="165"/>
      <c r="F1829" s="165"/>
      <c r="G1829" s="165"/>
      <c r="H1829" s="165"/>
      <c r="I1829" s="165"/>
      <c r="J1829" s="165"/>
      <c r="K1829" s="165"/>
      <c r="L1829" s="165"/>
      <c r="M1829" s="165"/>
      <c r="N1829" s="165"/>
      <c r="O1829" s="166"/>
    </row>
    <row r="1830" ht="1.5" customHeight="1">
      <c r="A1830" s="155"/>
      <c r="B1830" s="156"/>
      <c r="C1830" s="157"/>
      <c r="D1830" s="158"/>
      <c r="E1830" s="159"/>
      <c r="F1830" s="159"/>
      <c r="G1830" s="159"/>
      <c r="H1830" s="159"/>
      <c r="I1830" s="159"/>
      <c r="J1830" s="159"/>
      <c r="K1830" s="159"/>
      <c r="L1830" s="159"/>
      <c r="M1830" s="159"/>
      <c r="N1830" s="159"/>
      <c r="O1830" s="160"/>
    </row>
    <row r="1831" ht="1.5" customHeight="1">
      <c r="A1831" s="161"/>
      <c r="B1831" s="162"/>
      <c r="C1831" s="163"/>
      <c r="D1831" s="164"/>
      <c r="E1831" s="165"/>
      <c r="F1831" s="165"/>
      <c r="G1831" s="165"/>
      <c r="H1831" s="165"/>
      <c r="I1831" s="165"/>
      <c r="J1831" s="165"/>
      <c r="K1831" s="165"/>
      <c r="L1831" s="165"/>
      <c r="M1831" s="165"/>
      <c r="N1831" s="165"/>
      <c r="O1831" s="166"/>
    </row>
    <row r="1832" ht="1.5" customHeight="1">
      <c r="A1832" s="155"/>
      <c r="B1832" s="156"/>
      <c r="C1832" s="157"/>
      <c r="D1832" s="158"/>
      <c r="E1832" s="159"/>
      <c r="F1832" s="159"/>
      <c r="G1832" s="159"/>
      <c r="H1832" s="159"/>
      <c r="I1832" s="159"/>
      <c r="J1832" s="159"/>
      <c r="K1832" s="159"/>
      <c r="L1832" s="159"/>
      <c r="M1832" s="159"/>
      <c r="N1832" s="159"/>
      <c r="O1832" s="160"/>
    </row>
    <row r="1833" ht="1.5" customHeight="1">
      <c r="A1833" s="161"/>
      <c r="B1833" s="162"/>
      <c r="C1833" s="163"/>
      <c r="D1833" s="164"/>
      <c r="E1833" s="165"/>
      <c r="F1833" s="165"/>
      <c r="G1833" s="165"/>
      <c r="H1833" s="165"/>
      <c r="I1833" s="165"/>
      <c r="J1833" s="165"/>
      <c r="K1833" s="165"/>
      <c r="L1833" s="165"/>
      <c r="M1833" s="165"/>
      <c r="N1833" s="165"/>
      <c r="O1833" s="166"/>
    </row>
    <row r="1834" ht="1.5" customHeight="1">
      <c r="A1834" s="155"/>
      <c r="B1834" s="156"/>
      <c r="C1834" s="157"/>
      <c r="D1834" s="158"/>
      <c r="E1834" s="159"/>
      <c r="F1834" s="159"/>
      <c r="G1834" s="159"/>
      <c r="H1834" s="159"/>
      <c r="I1834" s="159"/>
      <c r="J1834" s="159"/>
      <c r="K1834" s="159"/>
      <c r="L1834" s="159"/>
      <c r="M1834" s="159"/>
      <c r="N1834" s="159"/>
      <c r="O1834" s="160"/>
    </row>
    <row r="1835" ht="1.5" customHeight="1">
      <c r="A1835" s="161"/>
      <c r="B1835" s="162"/>
      <c r="C1835" s="163"/>
      <c r="D1835" s="164"/>
      <c r="E1835" s="165"/>
      <c r="F1835" s="165"/>
      <c r="G1835" s="165"/>
      <c r="H1835" s="165"/>
      <c r="I1835" s="165"/>
      <c r="J1835" s="165"/>
      <c r="K1835" s="165"/>
      <c r="L1835" s="165"/>
      <c r="M1835" s="165"/>
      <c r="N1835" s="165"/>
      <c r="O1835" s="166"/>
    </row>
    <row r="1836" ht="1.5" customHeight="1">
      <c r="A1836" s="155"/>
      <c r="B1836" s="156"/>
      <c r="C1836" s="157"/>
      <c r="D1836" s="158"/>
      <c r="E1836" s="159"/>
      <c r="F1836" s="159"/>
      <c r="G1836" s="159"/>
      <c r="H1836" s="159"/>
      <c r="I1836" s="159"/>
      <c r="J1836" s="159"/>
      <c r="K1836" s="159"/>
      <c r="L1836" s="159"/>
      <c r="M1836" s="159"/>
      <c r="N1836" s="159"/>
      <c r="O1836" s="160"/>
    </row>
    <row r="1837" ht="1.5" customHeight="1">
      <c r="A1837" s="161"/>
      <c r="B1837" s="162"/>
      <c r="C1837" s="163"/>
      <c r="D1837" s="164"/>
      <c r="E1837" s="165"/>
      <c r="F1837" s="165"/>
      <c r="G1837" s="165"/>
      <c r="H1837" s="165"/>
      <c r="I1837" s="165"/>
      <c r="J1837" s="165"/>
      <c r="K1837" s="165"/>
      <c r="L1837" s="165"/>
      <c r="M1837" s="165"/>
      <c r="N1837" s="165"/>
      <c r="O1837" s="166"/>
    </row>
    <row r="1838" ht="1.5" customHeight="1">
      <c r="A1838" s="155"/>
      <c r="B1838" s="156"/>
      <c r="C1838" s="157"/>
      <c r="D1838" s="158"/>
      <c r="E1838" s="159"/>
      <c r="F1838" s="159"/>
      <c r="G1838" s="159"/>
      <c r="H1838" s="159"/>
      <c r="I1838" s="159"/>
      <c r="J1838" s="159"/>
      <c r="K1838" s="159"/>
      <c r="L1838" s="159"/>
      <c r="M1838" s="159"/>
      <c r="N1838" s="159"/>
      <c r="O1838" s="160"/>
    </row>
    <row r="1839" ht="1.5" customHeight="1">
      <c r="A1839" s="161"/>
      <c r="B1839" s="162"/>
      <c r="C1839" s="163"/>
      <c r="D1839" s="164"/>
      <c r="E1839" s="165"/>
      <c r="F1839" s="165"/>
      <c r="G1839" s="165"/>
      <c r="H1839" s="165"/>
      <c r="I1839" s="165"/>
      <c r="J1839" s="165"/>
      <c r="K1839" s="165"/>
      <c r="L1839" s="165"/>
      <c r="M1839" s="165"/>
      <c r="N1839" s="165"/>
      <c r="O1839" s="166"/>
    </row>
    <row r="1840" ht="1.5" customHeight="1">
      <c r="A1840" s="155"/>
      <c r="B1840" s="156"/>
      <c r="C1840" s="157"/>
      <c r="D1840" s="158"/>
      <c r="E1840" s="159"/>
      <c r="F1840" s="159"/>
      <c r="G1840" s="159"/>
      <c r="H1840" s="159"/>
      <c r="I1840" s="159"/>
      <c r="J1840" s="159"/>
      <c r="K1840" s="159"/>
      <c r="L1840" s="159"/>
      <c r="M1840" s="159"/>
      <c r="N1840" s="159"/>
      <c r="O1840" s="160"/>
    </row>
    <row r="1841" ht="1.5" customHeight="1">
      <c r="A1841" s="161"/>
      <c r="B1841" s="162"/>
      <c r="C1841" s="163"/>
      <c r="D1841" s="164"/>
      <c r="E1841" s="165"/>
      <c r="F1841" s="165"/>
      <c r="G1841" s="165"/>
      <c r="H1841" s="165"/>
      <c r="I1841" s="165"/>
      <c r="J1841" s="165"/>
      <c r="K1841" s="165"/>
      <c r="L1841" s="165"/>
      <c r="M1841" s="165"/>
      <c r="N1841" s="165"/>
      <c r="O1841" s="166"/>
    </row>
    <row r="1842" ht="1.5" customHeight="1">
      <c r="A1842" s="155"/>
      <c r="B1842" s="156"/>
      <c r="C1842" s="157"/>
      <c r="D1842" s="158"/>
      <c r="E1842" s="159"/>
      <c r="F1842" s="159"/>
      <c r="G1842" s="159"/>
      <c r="H1842" s="159"/>
      <c r="I1842" s="159"/>
      <c r="J1842" s="159"/>
      <c r="K1842" s="159"/>
      <c r="L1842" s="159"/>
      <c r="M1842" s="159"/>
      <c r="N1842" s="159"/>
      <c r="O1842" s="160"/>
    </row>
    <row r="1843" ht="1.5" customHeight="1">
      <c r="A1843" s="161"/>
      <c r="B1843" s="162"/>
      <c r="C1843" s="163"/>
      <c r="D1843" s="164"/>
      <c r="E1843" s="165"/>
      <c r="F1843" s="165"/>
      <c r="G1843" s="165"/>
      <c r="H1843" s="165"/>
      <c r="I1843" s="165"/>
      <c r="J1843" s="165"/>
      <c r="K1843" s="165"/>
      <c r="L1843" s="165"/>
      <c r="M1843" s="165"/>
      <c r="N1843" s="165"/>
      <c r="O1843" s="166"/>
    </row>
    <row r="1844" ht="1.5" customHeight="1">
      <c r="A1844" s="155"/>
      <c r="B1844" s="156"/>
      <c r="C1844" s="157"/>
      <c r="D1844" s="158"/>
      <c r="E1844" s="159"/>
      <c r="F1844" s="159"/>
      <c r="G1844" s="159"/>
      <c r="H1844" s="159"/>
      <c r="I1844" s="159"/>
      <c r="J1844" s="159"/>
      <c r="K1844" s="159"/>
      <c r="L1844" s="159"/>
      <c r="M1844" s="159"/>
      <c r="N1844" s="159"/>
      <c r="O1844" s="160"/>
    </row>
    <row r="1845" ht="1.5" customHeight="1">
      <c r="A1845" s="161"/>
      <c r="B1845" s="162"/>
      <c r="C1845" s="163"/>
      <c r="D1845" s="164"/>
      <c r="E1845" s="165"/>
      <c r="F1845" s="165"/>
      <c r="G1845" s="165"/>
      <c r="H1845" s="165"/>
      <c r="I1845" s="165"/>
      <c r="J1845" s="165"/>
      <c r="K1845" s="165"/>
      <c r="L1845" s="165"/>
      <c r="M1845" s="165"/>
      <c r="N1845" s="165"/>
      <c r="O1845" s="166"/>
    </row>
    <row r="1846" ht="1.5" customHeight="1">
      <c r="A1846" s="155"/>
      <c r="B1846" s="156"/>
      <c r="C1846" s="157"/>
      <c r="D1846" s="158"/>
      <c r="E1846" s="159"/>
      <c r="F1846" s="159"/>
      <c r="G1846" s="159"/>
      <c r="H1846" s="159"/>
      <c r="I1846" s="159"/>
      <c r="J1846" s="159"/>
      <c r="K1846" s="159"/>
      <c r="L1846" s="159"/>
      <c r="M1846" s="159"/>
      <c r="N1846" s="159"/>
      <c r="O1846" s="160"/>
    </row>
    <row r="1847" ht="1.5" customHeight="1">
      <c r="A1847" s="161"/>
      <c r="B1847" s="162"/>
      <c r="C1847" s="163"/>
      <c r="D1847" s="164"/>
      <c r="E1847" s="165"/>
      <c r="F1847" s="165"/>
      <c r="G1847" s="165"/>
      <c r="H1847" s="165"/>
      <c r="I1847" s="165"/>
      <c r="J1847" s="165"/>
      <c r="K1847" s="165"/>
      <c r="L1847" s="165"/>
      <c r="M1847" s="165"/>
      <c r="N1847" s="165"/>
      <c r="O1847" s="166"/>
    </row>
    <row r="1848" ht="1.5" customHeight="1">
      <c r="A1848" s="155"/>
      <c r="B1848" s="156"/>
      <c r="C1848" s="157"/>
      <c r="D1848" s="158"/>
      <c r="E1848" s="159"/>
      <c r="F1848" s="159"/>
      <c r="G1848" s="159"/>
      <c r="H1848" s="159"/>
      <c r="I1848" s="159"/>
      <c r="J1848" s="159"/>
      <c r="K1848" s="159"/>
      <c r="L1848" s="159"/>
      <c r="M1848" s="159"/>
      <c r="N1848" s="159"/>
      <c r="O1848" s="160"/>
    </row>
    <row r="1849" ht="1.5" customHeight="1">
      <c r="A1849" s="161"/>
      <c r="B1849" s="162"/>
      <c r="C1849" s="163"/>
      <c r="D1849" s="164"/>
      <c r="E1849" s="165"/>
      <c r="F1849" s="165"/>
      <c r="G1849" s="165"/>
      <c r="H1849" s="165"/>
      <c r="I1849" s="165"/>
      <c r="J1849" s="165"/>
      <c r="K1849" s="165"/>
      <c r="L1849" s="165"/>
      <c r="M1849" s="165"/>
      <c r="N1849" s="165"/>
      <c r="O1849" s="166"/>
    </row>
    <row r="1850" ht="1.5" customHeight="1">
      <c r="A1850" s="155"/>
      <c r="B1850" s="156"/>
      <c r="C1850" s="157"/>
      <c r="D1850" s="158"/>
      <c r="E1850" s="159"/>
      <c r="F1850" s="159"/>
      <c r="G1850" s="159"/>
      <c r="H1850" s="159"/>
      <c r="I1850" s="159"/>
      <c r="J1850" s="159"/>
      <c r="K1850" s="159"/>
      <c r="L1850" s="159"/>
      <c r="M1850" s="159"/>
      <c r="N1850" s="159"/>
      <c r="O1850" s="160"/>
    </row>
    <row r="1851" ht="1.5" customHeight="1">
      <c r="A1851" s="161"/>
      <c r="B1851" s="162"/>
      <c r="C1851" s="163"/>
      <c r="D1851" s="164"/>
      <c r="E1851" s="165"/>
      <c r="F1851" s="165"/>
      <c r="G1851" s="165"/>
      <c r="H1851" s="165"/>
      <c r="I1851" s="165"/>
      <c r="J1851" s="165"/>
      <c r="K1851" s="165"/>
      <c r="L1851" s="165"/>
      <c r="M1851" s="165"/>
      <c r="N1851" s="165"/>
      <c r="O1851" s="166"/>
    </row>
    <row r="1852" ht="1.5" customHeight="1">
      <c r="A1852" s="155"/>
      <c r="B1852" s="156"/>
      <c r="C1852" s="157"/>
      <c r="D1852" s="158"/>
      <c r="E1852" s="159"/>
      <c r="F1852" s="159"/>
      <c r="G1852" s="159"/>
      <c r="H1852" s="159"/>
      <c r="I1852" s="159"/>
      <c r="J1852" s="159"/>
      <c r="K1852" s="159"/>
      <c r="L1852" s="159"/>
      <c r="M1852" s="159"/>
      <c r="N1852" s="159"/>
      <c r="O1852" s="160"/>
    </row>
    <row r="1853" ht="1.5" customHeight="1">
      <c r="A1853" s="161"/>
      <c r="B1853" s="162"/>
      <c r="C1853" s="163"/>
      <c r="D1853" s="164"/>
      <c r="E1853" s="165"/>
      <c r="F1853" s="165"/>
      <c r="G1853" s="165"/>
      <c r="H1853" s="165"/>
      <c r="I1853" s="165"/>
      <c r="J1853" s="165"/>
      <c r="K1853" s="165"/>
      <c r="L1853" s="165"/>
      <c r="M1853" s="165"/>
      <c r="N1853" s="165"/>
      <c r="O1853" s="166"/>
    </row>
    <row r="1854" ht="1.5" customHeight="1">
      <c r="A1854" s="155"/>
      <c r="B1854" s="156"/>
      <c r="C1854" s="157"/>
      <c r="D1854" s="158"/>
      <c r="E1854" s="159"/>
      <c r="F1854" s="159"/>
      <c r="G1854" s="159"/>
      <c r="H1854" s="159"/>
      <c r="I1854" s="159"/>
      <c r="J1854" s="159"/>
      <c r="K1854" s="159"/>
      <c r="L1854" s="159"/>
      <c r="M1854" s="159"/>
      <c r="N1854" s="159"/>
      <c r="O1854" s="160"/>
    </row>
    <row r="1855" ht="1.5" customHeight="1">
      <c r="A1855" s="161"/>
      <c r="B1855" s="162"/>
      <c r="C1855" s="163"/>
      <c r="D1855" s="164"/>
      <c r="E1855" s="165"/>
      <c r="F1855" s="165"/>
      <c r="G1855" s="165"/>
      <c r="H1855" s="165"/>
      <c r="I1855" s="165"/>
      <c r="J1855" s="165"/>
      <c r="K1855" s="165"/>
      <c r="L1855" s="165"/>
      <c r="M1855" s="165"/>
      <c r="N1855" s="165"/>
      <c r="O1855" s="166"/>
    </row>
    <row r="1856" ht="1.5" customHeight="1">
      <c r="A1856" s="155"/>
      <c r="B1856" s="156"/>
      <c r="C1856" s="157"/>
      <c r="D1856" s="158"/>
      <c r="E1856" s="159"/>
      <c r="F1856" s="159"/>
      <c r="G1856" s="159"/>
      <c r="H1856" s="159"/>
      <c r="I1856" s="159"/>
      <c r="J1856" s="159"/>
      <c r="K1856" s="159"/>
      <c r="L1856" s="159"/>
      <c r="M1856" s="159"/>
      <c r="N1856" s="159"/>
      <c r="O1856" s="160"/>
    </row>
    <row r="1857" ht="1.5" customHeight="1">
      <c r="A1857" s="161"/>
      <c r="B1857" s="162"/>
      <c r="C1857" s="163"/>
      <c r="D1857" s="164"/>
      <c r="E1857" s="165"/>
      <c r="F1857" s="165"/>
      <c r="G1857" s="165"/>
      <c r="H1857" s="165"/>
      <c r="I1857" s="165"/>
      <c r="J1857" s="165"/>
      <c r="K1857" s="165"/>
      <c r="L1857" s="165"/>
      <c r="M1857" s="165"/>
      <c r="N1857" s="165"/>
      <c r="O1857" s="166"/>
    </row>
    <row r="1858" ht="1.5" customHeight="1">
      <c r="A1858" s="155"/>
      <c r="B1858" s="156"/>
      <c r="C1858" s="157"/>
      <c r="D1858" s="158"/>
      <c r="E1858" s="159"/>
      <c r="F1858" s="159"/>
      <c r="G1858" s="159"/>
      <c r="H1858" s="159"/>
      <c r="I1858" s="159"/>
      <c r="J1858" s="159"/>
      <c r="K1858" s="159"/>
      <c r="L1858" s="159"/>
      <c r="M1858" s="159"/>
      <c r="N1858" s="159"/>
      <c r="O1858" s="160"/>
    </row>
    <row r="1859" ht="1.5" customHeight="1">
      <c r="A1859" s="161"/>
      <c r="B1859" s="162"/>
      <c r="C1859" s="163"/>
      <c r="D1859" s="164"/>
      <c r="E1859" s="165"/>
      <c r="F1859" s="165"/>
      <c r="G1859" s="165"/>
      <c r="H1859" s="165"/>
      <c r="I1859" s="165"/>
      <c r="J1859" s="165"/>
      <c r="K1859" s="165"/>
      <c r="L1859" s="165"/>
      <c r="M1859" s="165"/>
      <c r="N1859" s="165"/>
      <c r="O1859" s="166"/>
    </row>
    <row r="1860" ht="1.5" customHeight="1">
      <c r="A1860" s="155"/>
      <c r="B1860" s="156"/>
      <c r="C1860" s="157"/>
      <c r="D1860" s="158"/>
      <c r="E1860" s="159"/>
      <c r="F1860" s="159"/>
      <c r="G1860" s="159"/>
      <c r="H1860" s="159"/>
      <c r="I1860" s="159"/>
      <c r="J1860" s="159"/>
      <c r="K1860" s="159"/>
      <c r="L1860" s="159"/>
      <c r="M1860" s="159"/>
      <c r="N1860" s="159"/>
      <c r="O1860" s="160"/>
    </row>
    <row r="1861" ht="1.5" customHeight="1">
      <c r="A1861" s="161"/>
      <c r="B1861" s="162"/>
      <c r="C1861" s="163"/>
      <c r="D1861" s="164"/>
      <c r="E1861" s="165"/>
      <c r="F1861" s="165"/>
      <c r="G1861" s="165"/>
      <c r="H1861" s="165"/>
      <c r="I1861" s="165"/>
      <c r="J1861" s="165"/>
      <c r="K1861" s="165"/>
      <c r="L1861" s="165"/>
      <c r="M1861" s="165"/>
      <c r="N1861" s="165"/>
      <c r="O1861" s="166"/>
    </row>
    <row r="1862" ht="1.5" customHeight="1">
      <c r="A1862" s="155"/>
      <c r="B1862" s="156"/>
      <c r="C1862" s="157"/>
      <c r="D1862" s="158"/>
      <c r="E1862" s="159"/>
      <c r="F1862" s="159"/>
      <c r="G1862" s="159"/>
      <c r="H1862" s="159"/>
      <c r="I1862" s="159"/>
      <c r="J1862" s="159"/>
      <c r="K1862" s="159"/>
      <c r="L1862" s="159"/>
      <c r="M1862" s="159"/>
      <c r="N1862" s="159"/>
      <c r="O1862" s="160"/>
    </row>
    <row r="1863" ht="1.5" customHeight="1">
      <c r="A1863" s="161"/>
      <c r="B1863" s="162"/>
      <c r="C1863" s="163"/>
      <c r="D1863" s="164"/>
      <c r="E1863" s="165"/>
      <c r="F1863" s="165"/>
      <c r="G1863" s="165"/>
      <c r="H1863" s="165"/>
      <c r="I1863" s="165"/>
      <c r="J1863" s="165"/>
      <c r="K1863" s="165"/>
      <c r="L1863" s="165"/>
      <c r="M1863" s="165"/>
      <c r="N1863" s="165"/>
      <c r="O1863" s="166"/>
    </row>
    <row r="1864" ht="1.5" customHeight="1">
      <c r="A1864" s="155"/>
      <c r="B1864" s="156"/>
      <c r="C1864" s="157"/>
      <c r="D1864" s="158"/>
      <c r="E1864" s="159"/>
      <c r="F1864" s="159"/>
      <c r="G1864" s="159"/>
      <c r="H1864" s="159"/>
      <c r="I1864" s="159"/>
      <c r="J1864" s="159"/>
      <c r="K1864" s="159"/>
      <c r="L1864" s="159"/>
      <c r="M1864" s="159"/>
      <c r="N1864" s="159"/>
      <c r="O1864" s="160"/>
    </row>
    <row r="1865" ht="1.5" customHeight="1">
      <c r="A1865" s="161"/>
      <c r="B1865" s="162"/>
      <c r="C1865" s="163"/>
      <c r="D1865" s="164"/>
      <c r="E1865" s="165"/>
      <c r="F1865" s="165"/>
      <c r="G1865" s="165"/>
      <c r="H1865" s="165"/>
      <c r="I1865" s="165"/>
      <c r="J1865" s="165"/>
      <c r="K1865" s="165"/>
      <c r="L1865" s="165"/>
      <c r="M1865" s="165"/>
      <c r="N1865" s="165"/>
      <c r="O1865" s="166"/>
    </row>
    <row r="1866" ht="1.5" customHeight="1">
      <c r="A1866" s="155"/>
      <c r="B1866" s="156"/>
      <c r="C1866" s="157"/>
      <c r="D1866" s="158"/>
      <c r="E1866" s="159"/>
      <c r="F1866" s="159"/>
      <c r="G1866" s="159"/>
      <c r="H1866" s="159"/>
      <c r="I1866" s="159"/>
      <c r="J1866" s="159"/>
      <c r="K1866" s="159"/>
      <c r="L1866" s="159"/>
      <c r="M1866" s="159"/>
      <c r="N1866" s="159"/>
      <c r="O1866" s="160"/>
    </row>
    <row r="1867" ht="1.5" customHeight="1">
      <c r="A1867" s="161"/>
      <c r="B1867" s="162"/>
      <c r="C1867" s="163"/>
      <c r="D1867" s="164"/>
      <c r="E1867" s="165"/>
      <c r="F1867" s="165"/>
      <c r="G1867" s="165"/>
      <c r="H1867" s="165"/>
      <c r="I1867" s="165"/>
      <c r="J1867" s="165"/>
      <c r="K1867" s="165"/>
      <c r="L1867" s="165"/>
      <c r="M1867" s="165"/>
      <c r="N1867" s="165"/>
      <c r="O1867" s="166"/>
    </row>
    <row r="1868" ht="1.5" customHeight="1">
      <c r="A1868" s="155"/>
      <c r="B1868" s="156"/>
      <c r="C1868" s="157"/>
      <c r="D1868" s="158"/>
      <c r="E1868" s="159"/>
      <c r="F1868" s="159"/>
      <c r="G1868" s="159"/>
      <c r="H1868" s="159"/>
      <c r="I1868" s="159"/>
      <c r="J1868" s="159"/>
      <c r="K1868" s="159"/>
      <c r="L1868" s="159"/>
      <c r="M1868" s="159"/>
      <c r="N1868" s="159"/>
      <c r="O1868" s="160"/>
    </row>
    <row r="1869" ht="1.5" customHeight="1">
      <c r="A1869" s="161"/>
      <c r="B1869" s="162"/>
      <c r="C1869" s="163"/>
      <c r="D1869" s="164"/>
      <c r="E1869" s="165"/>
      <c r="F1869" s="165"/>
      <c r="G1869" s="165"/>
      <c r="H1869" s="165"/>
      <c r="I1869" s="165"/>
      <c r="J1869" s="165"/>
      <c r="K1869" s="165"/>
      <c r="L1869" s="165"/>
      <c r="M1869" s="165"/>
      <c r="N1869" s="165"/>
      <c r="O1869" s="166"/>
    </row>
    <row r="1870" ht="1.5" customHeight="1">
      <c r="A1870" s="155"/>
      <c r="B1870" s="156"/>
      <c r="C1870" s="157"/>
      <c r="D1870" s="158"/>
      <c r="E1870" s="159"/>
      <c r="F1870" s="159"/>
      <c r="G1870" s="159"/>
      <c r="H1870" s="159"/>
      <c r="I1870" s="159"/>
      <c r="J1870" s="159"/>
      <c r="K1870" s="159"/>
      <c r="L1870" s="159"/>
      <c r="M1870" s="159"/>
      <c r="N1870" s="159"/>
      <c r="O1870" s="160"/>
    </row>
    <row r="1871" ht="1.5" customHeight="1">
      <c r="A1871" s="161"/>
      <c r="B1871" s="162"/>
      <c r="C1871" s="163"/>
      <c r="D1871" s="164"/>
      <c r="E1871" s="165"/>
      <c r="F1871" s="165"/>
      <c r="G1871" s="165"/>
      <c r="H1871" s="165"/>
      <c r="I1871" s="165"/>
      <c r="J1871" s="165"/>
      <c r="K1871" s="165"/>
      <c r="L1871" s="165"/>
      <c r="M1871" s="165"/>
      <c r="N1871" s="165"/>
      <c r="O1871" s="166"/>
    </row>
    <row r="1872" ht="1.5" customHeight="1">
      <c r="A1872" s="155"/>
      <c r="B1872" s="156"/>
      <c r="C1872" s="157"/>
      <c r="D1872" s="158"/>
      <c r="E1872" s="159"/>
      <c r="F1872" s="159"/>
      <c r="G1872" s="159"/>
      <c r="H1872" s="159"/>
      <c r="I1872" s="159"/>
      <c r="J1872" s="159"/>
      <c r="K1872" s="159"/>
      <c r="L1872" s="159"/>
      <c r="M1872" s="159"/>
      <c r="N1872" s="159"/>
      <c r="O1872" s="160"/>
    </row>
    <row r="1873" ht="1.5" customHeight="1">
      <c r="A1873" s="161"/>
      <c r="B1873" s="162"/>
      <c r="C1873" s="163"/>
      <c r="D1873" s="164"/>
      <c r="E1873" s="165"/>
      <c r="F1873" s="165"/>
      <c r="G1873" s="165"/>
      <c r="H1873" s="165"/>
      <c r="I1873" s="165"/>
      <c r="J1873" s="165"/>
      <c r="K1873" s="165"/>
      <c r="L1873" s="165"/>
      <c r="M1873" s="165"/>
      <c r="N1873" s="165"/>
      <c r="O1873" s="166"/>
    </row>
    <row r="1874" ht="1.5" customHeight="1">
      <c r="A1874" s="155"/>
      <c r="B1874" s="156"/>
      <c r="C1874" s="157"/>
      <c r="D1874" s="158"/>
      <c r="E1874" s="159"/>
      <c r="F1874" s="159"/>
      <c r="G1874" s="159"/>
      <c r="H1874" s="159"/>
      <c r="I1874" s="159"/>
      <c r="J1874" s="159"/>
      <c r="K1874" s="159"/>
      <c r="L1874" s="159"/>
      <c r="M1874" s="159"/>
      <c r="N1874" s="159"/>
      <c r="O1874" s="160"/>
    </row>
    <row r="1875" ht="1.5" customHeight="1">
      <c r="A1875" s="161"/>
      <c r="B1875" s="162"/>
      <c r="C1875" s="163"/>
      <c r="D1875" s="164"/>
      <c r="E1875" s="165"/>
      <c r="F1875" s="165"/>
      <c r="G1875" s="165"/>
      <c r="H1875" s="165"/>
      <c r="I1875" s="165"/>
      <c r="J1875" s="165"/>
      <c r="K1875" s="165"/>
      <c r="L1875" s="165"/>
      <c r="M1875" s="165"/>
      <c r="N1875" s="165"/>
      <c r="O1875" s="166"/>
    </row>
    <row r="1876" ht="1.5" customHeight="1">
      <c r="A1876" s="155"/>
      <c r="B1876" s="156"/>
      <c r="C1876" s="157"/>
      <c r="D1876" s="158"/>
      <c r="E1876" s="159"/>
      <c r="F1876" s="159"/>
      <c r="G1876" s="159"/>
      <c r="H1876" s="159"/>
      <c r="I1876" s="159"/>
      <c r="J1876" s="159"/>
      <c r="K1876" s="159"/>
      <c r="L1876" s="159"/>
      <c r="M1876" s="159"/>
      <c r="N1876" s="159"/>
      <c r="O1876" s="160"/>
    </row>
    <row r="1877" ht="1.5" customHeight="1">
      <c r="A1877" s="161"/>
      <c r="B1877" s="162"/>
      <c r="C1877" s="163"/>
      <c r="D1877" s="164"/>
      <c r="E1877" s="165"/>
      <c r="F1877" s="165"/>
      <c r="G1877" s="165"/>
      <c r="H1877" s="165"/>
      <c r="I1877" s="165"/>
      <c r="J1877" s="165"/>
      <c r="K1877" s="165"/>
      <c r="L1877" s="165"/>
      <c r="M1877" s="165"/>
      <c r="N1877" s="165"/>
      <c r="O1877" s="166"/>
    </row>
    <row r="1878" ht="1.5" customHeight="1">
      <c r="A1878" s="155"/>
      <c r="B1878" s="156"/>
      <c r="C1878" s="157"/>
      <c r="D1878" s="158"/>
      <c r="E1878" s="159"/>
      <c r="F1878" s="159"/>
      <c r="G1878" s="159"/>
      <c r="H1878" s="159"/>
      <c r="I1878" s="159"/>
      <c r="J1878" s="159"/>
      <c r="K1878" s="159"/>
      <c r="L1878" s="159"/>
      <c r="M1878" s="159"/>
      <c r="N1878" s="159"/>
      <c r="O1878" s="160"/>
    </row>
    <row r="1879" ht="1.5" customHeight="1">
      <c r="A1879" s="161"/>
      <c r="B1879" s="162"/>
      <c r="C1879" s="163"/>
      <c r="D1879" s="164"/>
      <c r="E1879" s="165"/>
      <c r="F1879" s="165"/>
      <c r="G1879" s="165"/>
      <c r="H1879" s="165"/>
      <c r="I1879" s="165"/>
      <c r="J1879" s="165"/>
      <c r="K1879" s="165"/>
      <c r="L1879" s="165"/>
      <c r="M1879" s="165"/>
      <c r="N1879" s="165"/>
      <c r="O1879" s="166"/>
    </row>
    <row r="1880" ht="1.5" customHeight="1">
      <c r="A1880" s="155"/>
      <c r="B1880" s="156"/>
      <c r="C1880" s="157"/>
      <c r="D1880" s="158"/>
      <c r="E1880" s="159"/>
      <c r="F1880" s="159"/>
      <c r="G1880" s="159"/>
      <c r="H1880" s="159"/>
      <c r="I1880" s="159"/>
      <c r="J1880" s="159"/>
      <c r="K1880" s="159"/>
      <c r="L1880" s="159"/>
      <c r="M1880" s="159"/>
      <c r="N1880" s="159"/>
      <c r="O1880" s="160"/>
    </row>
    <row r="1881" ht="1.5" customHeight="1">
      <c r="A1881" s="161"/>
      <c r="B1881" s="162"/>
      <c r="C1881" s="163"/>
      <c r="D1881" s="164"/>
      <c r="E1881" s="165"/>
      <c r="F1881" s="165"/>
      <c r="G1881" s="165"/>
      <c r="H1881" s="165"/>
      <c r="I1881" s="165"/>
      <c r="J1881" s="165"/>
      <c r="K1881" s="165"/>
      <c r="L1881" s="165"/>
      <c r="M1881" s="165"/>
      <c r="N1881" s="165"/>
      <c r="O1881" s="166"/>
    </row>
    <row r="1882" ht="1.5" customHeight="1">
      <c r="A1882" s="155"/>
      <c r="B1882" s="156"/>
      <c r="C1882" s="157"/>
      <c r="D1882" s="158"/>
      <c r="E1882" s="159"/>
      <c r="F1882" s="159"/>
      <c r="G1882" s="159"/>
      <c r="H1882" s="159"/>
      <c r="I1882" s="159"/>
      <c r="J1882" s="159"/>
      <c r="K1882" s="159"/>
      <c r="L1882" s="159"/>
      <c r="M1882" s="159"/>
      <c r="N1882" s="159"/>
      <c r="O1882" s="160"/>
    </row>
    <row r="1883" ht="1.5" customHeight="1">
      <c r="A1883" s="161"/>
      <c r="B1883" s="162"/>
      <c r="C1883" s="163"/>
      <c r="D1883" s="164"/>
      <c r="E1883" s="165"/>
      <c r="F1883" s="165"/>
      <c r="G1883" s="165"/>
      <c r="H1883" s="165"/>
      <c r="I1883" s="165"/>
      <c r="J1883" s="165"/>
      <c r="K1883" s="165"/>
      <c r="L1883" s="165"/>
      <c r="M1883" s="165"/>
      <c r="N1883" s="165"/>
      <c r="O1883" s="166"/>
    </row>
    <row r="1884" ht="1.5" customHeight="1">
      <c r="A1884" s="155"/>
      <c r="B1884" s="156"/>
      <c r="C1884" s="157"/>
      <c r="D1884" s="158"/>
      <c r="E1884" s="159"/>
      <c r="F1884" s="159"/>
      <c r="G1884" s="159"/>
      <c r="H1884" s="159"/>
      <c r="I1884" s="159"/>
      <c r="J1884" s="159"/>
      <c r="K1884" s="159"/>
      <c r="L1884" s="159"/>
      <c r="M1884" s="159"/>
      <c r="N1884" s="159"/>
      <c r="O1884" s="160"/>
    </row>
    <row r="1885" ht="1.5" customHeight="1">
      <c r="A1885" s="161"/>
      <c r="B1885" s="162"/>
      <c r="C1885" s="163"/>
      <c r="D1885" s="164"/>
      <c r="E1885" s="165"/>
      <c r="F1885" s="165"/>
      <c r="G1885" s="165"/>
      <c r="H1885" s="165"/>
      <c r="I1885" s="165"/>
      <c r="J1885" s="165"/>
      <c r="K1885" s="165"/>
      <c r="L1885" s="165"/>
      <c r="M1885" s="165"/>
      <c r="N1885" s="165"/>
      <c r="O1885" s="166"/>
    </row>
    <row r="1886" ht="1.5" customHeight="1">
      <c r="A1886" s="155"/>
      <c r="B1886" s="156"/>
      <c r="C1886" s="157"/>
      <c r="D1886" s="158"/>
      <c r="E1886" s="159"/>
      <c r="F1886" s="159"/>
      <c r="G1886" s="159"/>
      <c r="H1886" s="159"/>
      <c r="I1886" s="159"/>
      <c r="J1886" s="159"/>
      <c r="K1886" s="159"/>
      <c r="L1886" s="159"/>
      <c r="M1886" s="159"/>
      <c r="N1886" s="159"/>
      <c r="O1886" s="160"/>
    </row>
    <row r="1887" ht="1.5" customHeight="1">
      <c r="A1887" s="161"/>
      <c r="B1887" s="162"/>
      <c r="C1887" s="163"/>
      <c r="D1887" s="164"/>
      <c r="E1887" s="165"/>
      <c r="F1887" s="165"/>
      <c r="G1887" s="165"/>
      <c r="H1887" s="165"/>
      <c r="I1887" s="165"/>
      <c r="J1887" s="165"/>
      <c r="K1887" s="165"/>
      <c r="L1887" s="165"/>
      <c r="M1887" s="165"/>
      <c r="N1887" s="165"/>
      <c r="O1887" s="166"/>
    </row>
    <row r="1888" ht="1.5" customHeight="1">
      <c r="A1888" s="155"/>
      <c r="B1888" s="156"/>
      <c r="C1888" s="157"/>
      <c r="D1888" s="158"/>
      <c r="E1888" s="159"/>
      <c r="F1888" s="159"/>
      <c r="G1888" s="159"/>
      <c r="H1888" s="159"/>
      <c r="I1888" s="159"/>
      <c r="J1888" s="159"/>
      <c r="K1888" s="159"/>
      <c r="L1888" s="159"/>
      <c r="M1888" s="159"/>
      <c r="N1888" s="159"/>
      <c r="O1888" s="160"/>
    </row>
    <row r="1889" ht="1.5" customHeight="1">
      <c r="A1889" s="161"/>
      <c r="B1889" s="162"/>
      <c r="C1889" s="163"/>
      <c r="D1889" s="164"/>
      <c r="E1889" s="165"/>
      <c r="F1889" s="165"/>
      <c r="G1889" s="165"/>
      <c r="H1889" s="165"/>
      <c r="I1889" s="165"/>
      <c r="J1889" s="165"/>
      <c r="K1889" s="165"/>
      <c r="L1889" s="165"/>
      <c r="M1889" s="165"/>
      <c r="N1889" s="165"/>
      <c r="O1889" s="166"/>
    </row>
    <row r="1890" ht="1.5" customHeight="1">
      <c r="A1890" s="155"/>
      <c r="B1890" s="156"/>
      <c r="C1890" s="157"/>
      <c r="D1890" s="158"/>
      <c r="E1890" s="159"/>
      <c r="F1890" s="159"/>
      <c r="G1890" s="159"/>
      <c r="H1890" s="159"/>
      <c r="I1890" s="159"/>
      <c r="J1890" s="159"/>
      <c r="K1890" s="159"/>
      <c r="L1890" s="159"/>
      <c r="M1890" s="159"/>
      <c r="N1890" s="159"/>
      <c r="O1890" s="160"/>
    </row>
    <row r="1891" ht="1.5" customHeight="1">
      <c r="A1891" s="161"/>
      <c r="B1891" s="162"/>
      <c r="C1891" s="163"/>
      <c r="D1891" s="164"/>
      <c r="E1891" s="165"/>
      <c r="F1891" s="165"/>
      <c r="G1891" s="165"/>
      <c r="H1891" s="165"/>
      <c r="I1891" s="165"/>
      <c r="J1891" s="165"/>
      <c r="K1891" s="165"/>
      <c r="L1891" s="165"/>
      <c r="M1891" s="165"/>
      <c r="N1891" s="165"/>
      <c r="O1891" s="166"/>
    </row>
    <row r="1892" ht="1.5" customHeight="1">
      <c r="A1892" s="155"/>
      <c r="B1892" s="156"/>
      <c r="C1892" s="157"/>
      <c r="D1892" s="158"/>
      <c r="E1892" s="159"/>
      <c r="F1892" s="159"/>
      <c r="G1892" s="159"/>
      <c r="H1892" s="159"/>
      <c r="I1892" s="159"/>
      <c r="J1892" s="159"/>
      <c r="K1892" s="159"/>
      <c r="L1892" s="159"/>
      <c r="M1892" s="159"/>
      <c r="N1892" s="159"/>
      <c r="O1892" s="160"/>
    </row>
    <row r="1893" ht="1.5" customHeight="1">
      <c r="A1893" s="161"/>
      <c r="B1893" s="162"/>
      <c r="C1893" s="163"/>
      <c r="D1893" s="164"/>
      <c r="E1893" s="165"/>
      <c r="F1893" s="165"/>
      <c r="G1893" s="165"/>
      <c r="H1893" s="165"/>
      <c r="I1893" s="165"/>
      <c r="J1893" s="165"/>
      <c r="K1893" s="165"/>
      <c r="L1893" s="165"/>
      <c r="M1893" s="165"/>
      <c r="N1893" s="165"/>
      <c r="O1893" s="166"/>
    </row>
    <row r="1894" ht="1.5" customHeight="1">
      <c r="A1894" s="155"/>
      <c r="B1894" s="156"/>
      <c r="C1894" s="157"/>
      <c r="D1894" s="158"/>
      <c r="E1894" s="159"/>
      <c r="F1894" s="159"/>
      <c r="G1894" s="159"/>
      <c r="H1894" s="159"/>
      <c r="I1894" s="159"/>
      <c r="J1894" s="159"/>
      <c r="K1894" s="159"/>
      <c r="L1894" s="159"/>
      <c r="M1894" s="159"/>
      <c r="N1894" s="159"/>
      <c r="O1894" s="160"/>
    </row>
    <row r="1895" ht="1.5" customHeight="1">
      <c r="A1895" s="161"/>
      <c r="B1895" s="162"/>
      <c r="C1895" s="163"/>
      <c r="D1895" s="164"/>
      <c r="E1895" s="165"/>
      <c r="F1895" s="165"/>
      <c r="G1895" s="165"/>
      <c r="H1895" s="165"/>
      <c r="I1895" s="165"/>
      <c r="J1895" s="165"/>
      <c r="K1895" s="165"/>
      <c r="L1895" s="165"/>
      <c r="M1895" s="165"/>
      <c r="N1895" s="165"/>
      <c r="O1895" s="166"/>
    </row>
    <row r="1896" ht="1.5" customHeight="1">
      <c r="A1896" s="155"/>
      <c r="B1896" s="156"/>
      <c r="C1896" s="157"/>
      <c r="D1896" s="158"/>
      <c r="E1896" s="159"/>
      <c r="F1896" s="159"/>
      <c r="G1896" s="159"/>
      <c r="H1896" s="159"/>
      <c r="I1896" s="159"/>
      <c r="J1896" s="159"/>
      <c r="K1896" s="159"/>
      <c r="L1896" s="159"/>
      <c r="M1896" s="159"/>
      <c r="N1896" s="159"/>
      <c r="O1896" s="160"/>
    </row>
    <row r="1897" ht="1.5" customHeight="1">
      <c r="A1897" s="161"/>
      <c r="B1897" s="162"/>
      <c r="C1897" s="163"/>
      <c r="D1897" s="164"/>
      <c r="E1897" s="165"/>
      <c r="F1897" s="165"/>
      <c r="G1897" s="165"/>
      <c r="H1897" s="165"/>
      <c r="I1897" s="165"/>
      <c r="J1897" s="165"/>
      <c r="K1897" s="165"/>
      <c r="L1897" s="165"/>
      <c r="M1897" s="165"/>
      <c r="N1897" s="165"/>
      <c r="O1897" s="166"/>
    </row>
    <row r="1898" ht="1.5" customHeight="1">
      <c r="A1898" s="155"/>
      <c r="B1898" s="156"/>
      <c r="C1898" s="157"/>
      <c r="D1898" s="158"/>
      <c r="E1898" s="159"/>
      <c r="F1898" s="159"/>
      <c r="G1898" s="159"/>
      <c r="H1898" s="159"/>
      <c r="I1898" s="159"/>
      <c r="J1898" s="159"/>
      <c r="K1898" s="159"/>
      <c r="L1898" s="159"/>
      <c r="M1898" s="159"/>
      <c r="N1898" s="159"/>
      <c r="O1898" s="160"/>
    </row>
    <row r="1899" ht="1.5" customHeight="1">
      <c r="A1899" s="161"/>
      <c r="B1899" s="162"/>
      <c r="C1899" s="163"/>
      <c r="D1899" s="164"/>
      <c r="E1899" s="165"/>
      <c r="F1899" s="165"/>
      <c r="G1899" s="165"/>
      <c r="H1899" s="165"/>
      <c r="I1899" s="165"/>
      <c r="J1899" s="165"/>
      <c r="K1899" s="165"/>
      <c r="L1899" s="165"/>
      <c r="M1899" s="165"/>
      <c r="N1899" s="165"/>
      <c r="O1899" s="166"/>
    </row>
    <row r="1900" ht="1.5" customHeight="1">
      <c r="A1900" s="155"/>
      <c r="B1900" s="156"/>
      <c r="C1900" s="157"/>
      <c r="D1900" s="158"/>
      <c r="E1900" s="159"/>
      <c r="F1900" s="159"/>
      <c r="G1900" s="159"/>
      <c r="H1900" s="159"/>
      <c r="I1900" s="159"/>
      <c r="J1900" s="159"/>
      <c r="K1900" s="159"/>
      <c r="L1900" s="159"/>
      <c r="M1900" s="159"/>
      <c r="N1900" s="159"/>
      <c r="O1900" s="160"/>
    </row>
    <row r="1901" ht="1.5" customHeight="1">
      <c r="A1901" s="161"/>
      <c r="B1901" s="162"/>
      <c r="C1901" s="163"/>
      <c r="D1901" s="164"/>
      <c r="E1901" s="165"/>
      <c r="F1901" s="165"/>
      <c r="G1901" s="165"/>
      <c r="H1901" s="165"/>
      <c r="I1901" s="165"/>
      <c r="J1901" s="165"/>
      <c r="K1901" s="165"/>
      <c r="L1901" s="165"/>
      <c r="M1901" s="165"/>
      <c r="N1901" s="165"/>
      <c r="O1901" s="166"/>
    </row>
    <row r="1902" ht="1.5" customHeight="1">
      <c r="A1902" s="155"/>
      <c r="B1902" s="156"/>
      <c r="C1902" s="157"/>
      <c r="D1902" s="158"/>
      <c r="E1902" s="159"/>
      <c r="F1902" s="159"/>
      <c r="G1902" s="159"/>
      <c r="H1902" s="159"/>
      <c r="I1902" s="159"/>
      <c r="J1902" s="159"/>
      <c r="K1902" s="159"/>
      <c r="L1902" s="159"/>
      <c r="M1902" s="159"/>
      <c r="N1902" s="159"/>
      <c r="O1902" s="160"/>
    </row>
    <row r="1903" ht="1.5" customHeight="1">
      <c r="A1903" s="161"/>
      <c r="B1903" s="162"/>
      <c r="C1903" s="163"/>
      <c r="D1903" s="164"/>
      <c r="E1903" s="165"/>
      <c r="F1903" s="165"/>
      <c r="G1903" s="165"/>
      <c r="H1903" s="165"/>
      <c r="I1903" s="165"/>
      <c r="J1903" s="165"/>
      <c r="K1903" s="165"/>
      <c r="L1903" s="165"/>
      <c r="M1903" s="165"/>
      <c r="N1903" s="165"/>
      <c r="O1903" s="166"/>
    </row>
    <row r="1904" ht="1.5" customHeight="1">
      <c r="A1904" s="155"/>
      <c r="B1904" s="156"/>
      <c r="C1904" s="157"/>
      <c r="D1904" s="158"/>
      <c r="E1904" s="159"/>
      <c r="F1904" s="159"/>
      <c r="G1904" s="159"/>
      <c r="H1904" s="159"/>
      <c r="I1904" s="159"/>
      <c r="J1904" s="159"/>
      <c r="K1904" s="159"/>
      <c r="L1904" s="159"/>
      <c r="M1904" s="159"/>
      <c r="N1904" s="159"/>
      <c r="O1904" s="160"/>
    </row>
    <row r="1905" ht="1.5" customHeight="1">
      <c r="A1905" s="161"/>
      <c r="B1905" s="162"/>
      <c r="C1905" s="163"/>
      <c r="D1905" s="164"/>
      <c r="E1905" s="165"/>
      <c r="F1905" s="165"/>
      <c r="G1905" s="165"/>
      <c r="H1905" s="165"/>
      <c r="I1905" s="165"/>
      <c r="J1905" s="165"/>
      <c r="K1905" s="165"/>
      <c r="L1905" s="165"/>
      <c r="M1905" s="165"/>
      <c r="N1905" s="165"/>
      <c r="O1905" s="166"/>
    </row>
    <row r="1906" ht="1.5" customHeight="1">
      <c r="A1906" s="155"/>
      <c r="B1906" s="156"/>
      <c r="C1906" s="157"/>
      <c r="D1906" s="158"/>
      <c r="E1906" s="159"/>
      <c r="F1906" s="159"/>
      <c r="G1906" s="159"/>
      <c r="H1906" s="159"/>
      <c r="I1906" s="159"/>
      <c r="J1906" s="159"/>
      <c r="K1906" s="159"/>
      <c r="L1906" s="159"/>
      <c r="M1906" s="159"/>
      <c r="N1906" s="159"/>
      <c r="O1906" s="160"/>
    </row>
    <row r="1907" ht="1.5" customHeight="1">
      <c r="A1907" s="161"/>
      <c r="B1907" s="162"/>
      <c r="C1907" s="163"/>
      <c r="D1907" s="164"/>
      <c r="E1907" s="165"/>
      <c r="F1907" s="165"/>
      <c r="G1907" s="165"/>
      <c r="H1907" s="165"/>
      <c r="I1907" s="165"/>
      <c r="J1907" s="165"/>
      <c r="K1907" s="165"/>
      <c r="L1907" s="165"/>
      <c r="M1907" s="165"/>
      <c r="N1907" s="165"/>
      <c r="O1907" s="166"/>
    </row>
    <row r="1908" ht="1.5" customHeight="1">
      <c r="A1908" s="155"/>
      <c r="B1908" s="156"/>
      <c r="C1908" s="157"/>
      <c r="D1908" s="158"/>
      <c r="E1908" s="159"/>
      <c r="F1908" s="159"/>
      <c r="G1908" s="159"/>
      <c r="H1908" s="159"/>
      <c r="I1908" s="159"/>
      <c r="J1908" s="159"/>
      <c r="K1908" s="159"/>
      <c r="L1908" s="159"/>
      <c r="M1908" s="159"/>
      <c r="N1908" s="159"/>
      <c r="O1908" s="160"/>
    </row>
    <row r="1909" ht="1.5" customHeight="1">
      <c r="A1909" s="161"/>
      <c r="B1909" s="162"/>
      <c r="C1909" s="163"/>
      <c r="D1909" s="164"/>
      <c r="E1909" s="165"/>
      <c r="F1909" s="165"/>
      <c r="G1909" s="165"/>
      <c r="H1909" s="165"/>
      <c r="I1909" s="165"/>
      <c r="J1909" s="165"/>
      <c r="K1909" s="165"/>
      <c r="L1909" s="165"/>
      <c r="M1909" s="165"/>
      <c r="N1909" s="165"/>
      <c r="O1909" s="166"/>
    </row>
    <row r="1910" ht="1.5" customHeight="1">
      <c r="A1910" s="155"/>
      <c r="B1910" s="156"/>
      <c r="C1910" s="157"/>
      <c r="D1910" s="158"/>
      <c r="E1910" s="159"/>
      <c r="F1910" s="159"/>
      <c r="G1910" s="159"/>
      <c r="H1910" s="159"/>
      <c r="I1910" s="159"/>
      <c r="J1910" s="159"/>
      <c r="K1910" s="159"/>
      <c r="L1910" s="159"/>
      <c r="M1910" s="159"/>
      <c r="N1910" s="159"/>
      <c r="O1910" s="160"/>
    </row>
    <row r="1911" ht="1.5" customHeight="1">
      <c r="A1911" s="161"/>
      <c r="B1911" s="162"/>
      <c r="C1911" s="163"/>
      <c r="D1911" s="164"/>
      <c r="E1911" s="165"/>
      <c r="F1911" s="165"/>
      <c r="G1911" s="165"/>
      <c r="H1911" s="165"/>
      <c r="I1911" s="165"/>
      <c r="J1911" s="165"/>
      <c r="K1911" s="165"/>
      <c r="L1911" s="165"/>
      <c r="M1911" s="165"/>
      <c r="N1911" s="165"/>
      <c r="O1911" s="166"/>
    </row>
    <row r="1912" ht="1.5" customHeight="1">
      <c r="A1912" s="155"/>
      <c r="B1912" s="156"/>
      <c r="C1912" s="157"/>
      <c r="D1912" s="158"/>
      <c r="E1912" s="159"/>
      <c r="F1912" s="159"/>
      <c r="G1912" s="159"/>
      <c r="H1912" s="159"/>
      <c r="I1912" s="159"/>
      <c r="J1912" s="159"/>
      <c r="K1912" s="159"/>
      <c r="L1912" s="159"/>
      <c r="M1912" s="159"/>
      <c r="N1912" s="159"/>
      <c r="O1912" s="160"/>
    </row>
    <row r="1913" ht="1.5" customHeight="1">
      <c r="A1913" s="161"/>
      <c r="B1913" s="162"/>
      <c r="C1913" s="163"/>
      <c r="D1913" s="164"/>
      <c r="E1913" s="165"/>
      <c r="F1913" s="165"/>
      <c r="G1913" s="165"/>
      <c r="H1913" s="165"/>
      <c r="I1913" s="165"/>
      <c r="J1913" s="165"/>
      <c r="K1913" s="165"/>
      <c r="L1913" s="165"/>
      <c r="M1913" s="165"/>
      <c r="N1913" s="165"/>
      <c r="O1913" s="166"/>
    </row>
    <row r="1914" ht="1.5" customHeight="1">
      <c r="A1914" s="155"/>
      <c r="B1914" s="156"/>
      <c r="C1914" s="157"/>
      <c r="D1914" s="158"/>
      <c r="E1914" s="159"/>
      <c r="F1914" s="159"/>
      <c r="G1914" s="159"/>
      <c r="H1914" s="159"/>
      <c r="I1914" s="159"/>
      <c r="J1914" s="159"/>
      <c r="K1914" s="159"/>
      <c r="L1914" s="159"/>
      <c r="M1914" s="159"/>
      <c r="N1914" s="159"/>
      <c r="O1914" s="160"/>
    </row>
    <row r="1915" ht="1.5" customHeight="1">
      <c r="A1915" s="161"/>
      <c r="B1915" s="162"/>
      <c r="C1915" s="163"/>
      <c r="D1915" s="164"/>
      <c r="E1915" s="165"/>
      <c r="F1915" s="165"/>
      <c r="G1915" s="165"/>
      <c r="H1915" s="165"/>
      <c r="I1915" s="165"/>
      <c r="J1915" s="165"/>
      <c r="K1915" s="165"/>
      <c r="L1915" s="165"/>
      <c r="M1915" s="165"/>
      <c r="N1915" s="165"/>
      <c r="O1915" s="166"/>
    </row>
    <row r="1916" ht="1.5" customHeight="1">
      <c r="A1916" s="155"/>
      <c r="B1916" s="156"/>
      <c r="C1916" s="157"/>
      <c r="D1916" s="158"/>
      <c r="E1916" s="159"/>
      <c r="F1916" s="159"/>
      <c r="G1916" s="159"/>
      <c r="H1916" s="159"/>
      <c r="I1916" s="159"/>
      <c r="J1916" s="159"/>
      <c r="K1916" s="159"/>
      <c r="L1916" s="159"/>
      <c r="M1916" s="159"/>
      <c r="N1916" s="159"/>
      <c r="O1916" s="160"/>
    </row>
    <row r="1917" ht="1.5" customHeight="1">
      <c r="A1917" s="161"/>
      <c r="B1917" s="162"/>
      <c r="C1917" s="163"/>
      <c r="D1917" s="164"/>
      <c r="E1917" s="165"/>
      <c r="F1917" s="165"/>
      <c r="G1917" s="165"/>
      <c r="H1917" s="165"/>
      <c r="I1917" s="165"/>
      <c r="J1917" s="165"/>
      <c r="K1917" s="165"/>
      <c r="L1917" s="165"/>
      <c r="M1917" s="165"/>
      <c r="N1917" s="165"/>
      <c r="O1917" s="166"/>
    </row>
    <row r="1918" ht="1.5" customHeight="1">
      <c r="A1918" s="155"/>
      <c r="B1918" s="156"/>
      <c r="C1918" s="157"/>
      <c r="D1918" s="158"/>
      <c r="E1918" s="159"/>
      <c r="F1918" s="159"/>
      <c r="G1918" s="159"/>
      <c r="H1918" s="159"/>
      <c r="I1918" s="159"/>
      <c r="J1918" s="159"/>
      <c r="K1918" s="159"/>
      <c r="L1918" s="159"/>
      <c r="M1918" s="159"/>
      <c r="N1918" s="159"/>
      <c r="O1918" s="160"/>
    </row>
    <row r="1919" ht="1.5" customHeight="1">
      <c r="A1919" s="161"/>
      <c r="B1919" s="162"/>
      <c r="C1919" s="163"/>
      <c r="D1919" s="164"/>
      <c r="E1919" s="165"/>
      <c r="F1919" s="165"/>
      <c r="G1919" s="165"/>
      <c r="H1919" s="165"/>
      <c r="I1919" s="165"/>
      <c r="J1919" s="165"/>
      <c r="K1919" s="165"/>
      <c r="L1919" s="165"/>
      <c r="M1919" s="165"/>
      <c r="N1919" s="165"/>
      <c r="O1919" s="166"/>
    </row>
    <row r="1920" ht="1.5" customHeight="1">
      <c r="A1920" s="155"/>
      <c r="B1920" s="156"/>
      <c r="C1920" s="157"/>
      <c r="D1920" s="158"/>
      <c r="E1920" s="159"/>
      <c r="F1920" s="159"/>
      <c r="G1920" s="159"/>
      <c r="H1920" s="159"/>
      <c r="I1920" s="159"/>
      <c r="J1920" s="159"/>
      <c r="K1920" s="159"/>
      <c r="L1920" s="159"/>
      <c r="M1920" s="159"/>
      <c r="N1920" s="159"/>
      <c r="O1920" s="160"/>
    </row>
    <row r="1921" ht="1.5" customHeight="1">
      <c r="A1921" s="161"/>
      <c r="B1921" s="162"/>
      <c r="C1921" s="163"/>
      <c r="D1921" s="164"/>
      <c r="E1921" s="165"/>
      <c r="F1921" s="165"/>
      <c r="G1921" s="165"/>
      <c r="H1921" s="165"/>
      <c r="I1921" s="165"/>
      <c r="J1921" s="165"/>
      <c r="K1921" s="165"/>
      <c r="L1921" s="165"/>
      <c r="M1921" s="165"/>
      <c r="N1921" s="165"/>
      <c r="O1921" s="166"/>
    </row>
    <row r="1922" ht="1.5" customHeight="1">
      <c r="A1922" s="155"/>
      <c r="B1922" s="156"/>
      <c r="C1922" s="157"/>
      <c r="D1922" s="158"/>
      <c r="E1922" s="159"/>
      <c r="F1922" s="159"/>
      <c r="G1922" s="159"/>
      <c r="H1922" s="159"/>
      <c r="I1922" s="159"/>
      <c r="J1922" s="159"/>
      <c r="K1922" s="159"/>
      <c r="L1922" s="159"/>
      <c r="M1922" s="159"/>
      <c r="N1922" s="159"/>
      <c r="O1922" s="160"/>
    </row>
    <row r="1923" ht="1.5" customHeight="1">
      <c r="A1923" s="161"/>
      <c r="B1923" s="162"/>
      <c r="C1923" s="163"/>
      <c r="D1923" s="164"/>
      <c r="E1923" s="165"/>
      <c r="F1923" s="165"/>
      <c r="G1923" s="165"/>
      <c r="H1923" s="165"/>
      <c r="I1923" s="165"/>
      <c r="J1923" s="165"/>
      <c r="K1923" s="165"/>
      <c r="L1923" s="165"/>
      <c r="M1923" s="165"/>
      <c r="N1923" s="165"/>
      <c r="O1923" s="166"/>
    </row>
    <row r="1924" ht="1.5" customHeight="1">
      <c r="A1924" s="155"/>
      <c r="B1924" s="156"/>
      <c r="C1924" s="157"/>
      <c r="D1924" s="158"/>
      <c r="E1924" s="159"/>
      <c r="F1924" s="159"/>
      <c r="G1924" s="159"/>
      <c r="H1924" s="159"/>
      <c r="I1924" s="159"/>
      <c r="J1924" s="159"/>
      <c r="K1924" s="159"/>
      <c r="L1924" s="159"/>
      <c r="M1924" s="159"/>
      <c r="N1924" s="159"/>
      <c r="O1924" s="160"/>
    </row>
    <row r="1925" ht="1.5" customHeight="1">
      <c r="A1925" s="161"/>
      <c r="B1925" s="162"/>
      <c r="C1925" s="163"/>
      <c r="D1925" s="164"/>
      <c r="E1925" s="165"/>
      <c r="F1925" s="165"/>
      <c r="G1925" s="165"/>
      <c r="H1925" s="165"/>
      <c r="I1925" s="165"/>
      <c r="J1925" s="165"/>
      <c r="K1925" s="165"/>
      <c r="L1925" s="165"/>
      <c r="M1925" s="165"/>
      <c r="N1925" s="165"/>
      <c r="O1925" s="166"/>
    </row>
    <row r="1926" ht="1.5" customHeight="1">
      <c r="A1926" s="155"/>
      <c r="B1926" s="156"/>
      <c r="C1926" s="157"/>
      <c r="D1926" s="158"/>
      <c r="E1926" s="159"/>
      <c r="F1926" s="159"/>
      <c r="G1926" s="159"/>
      <c r="H1926" s="159"/>
      <c r="I1926" s="159"/>
      <c r="J1926" s="159"/>
      <c r="K1926" s="159"/>
      <c r="L1926" s="159"/>
      <c r="M1926" s="159"/>
      <c r="N1926" s="159"/>
      <c r="O1926" s="160"/>
    </row>
    <row r="1927" ht="1.5" customHeight="1">
      <c r="A1927" s="161"/>
      <c r="B1927" s="162"/>
      <c r="C1927" s="163"/>
      <c r="D1927" s="164"/>
      <c r="E1927" s="165"/>
      <c r="F1927" s="165"/>
      <c r="G1927" s="165"/>
      <c r="H1927" s="165"/>
      <c r="I1927" s="165"/>
      <c r="J1927" s="165"/>
      <c r="K1927" s="165"/>
      <c r="L1927" s="165"/>
      <c r="M1927" s="165"/>
      <c r="N1927" s="165"/>
      <c r="O1927" s="166"/>
    </row>
    <row r="1928" ht="1.5" customHeight="1">
      <c r="A1928" s="155"/>
      <c r="B1928" s="156"/>
      <c r="C1928" s="157"/>
      <c r="D1928" s="158"/>
      <c r="E1928" s="159"/>
      <c r="F1928" s="159"/>
      <c r="G1928" s="159"/>
      <c r="H1928" s="159"/>
      <c r="I1928" s="159"/>
      <c r="J1928" s="159"/>
      <c r="K1928" s="159"/>
      <c r="L1928" s="159"/>
      <c r="M1928" s="159"/>
      <c r="N1928" s="159"/>
      <c r="O1928" s="160"/>
    </row>
    <row r="1929" ht="1.5" customHeight="1">
      <c r="A1929" s="161"/>
      <c r="B1929" s="162"/>
      <c r="C1929" s="163"/>
      <c r="D1929" s="164"/>
      <c r="E1929" s="165"/>
      <c r="F1929" s="165"/>
      <c r="G1929" s="165"/>
      <c r="H1929" s="165"/>
      <c r="I1929" s="165"/>
      <c r="J1929" s="165"/>
      <c r="K1929" s="165"/>
      <c r="L1929" s="165"/>
      <c r="M1929" s="165"/>
      <c r="N1929" s="165"/>
      <c r="O1929" s="166"/>
    </row>
    <row r="1930" ht="1.5" customHeight="1">
      <c r="A1930" s="155"/>
      <c r="B1930" s="156"/>
      <c r="C1930" s="157"/>
      <c r="D1930" s="158"/>
      <c r="E1930" s="159"/>
      <c r="F1930" s="159"/>
      <c r="G1930" s="159"/>
      <c r="H1930" s="159"/>
      <c r="I1930" s="159"/>
      <c r="J1930" s="159"/>
      <c r="K1930" s="159"/>
      <c r="L1930" s="159"/>
      <c r="M1930" s="159"/>
      <c r="N1930" s="159"/>
      <c r="O1930" s="160"/>
    </row>
    <row r="1931" ht="1.5" customHeight="1">
      <c r="A1931" s="161"/>
      <c r="B1931" s="162"/>
      <c r="C1931" s="163"/>
      <c r="D1931" s="164"/>
      <c r="E1931" s="165"/>
      <c r="F1931" s="165"/>
      <c r="G1931" s="165"/>
      <c r="H1931" s="165"/>
      <c r="I1931" s="165"/>
      <c r="J1931" s="165"/>
      <c r="K1931" s="165"/>
      <c r="L1931" s="165"/>
      <c r="M1931" s="165"/>
      <c r="N1931" s="165"/>
      <c r="O1931" s="166"/>
    </row>
    <row r="1932" ht="1.5" customHeight="1">
      <c r="A1932" s="155"/>
      <c r="B1932" s="156"/>
      <c r="C1932" s="157"/>
      <c r="D1932" s="158"/>
      <c r="E1932" s="159"/>
      <c r="F1932" s="159"/>
      <c r="G1932" s="159"/>
      <c r="H1932" s="159"/>
      <c r="I1932" s="159"/>
      <c r="J1932" s="159"/>
      <c r="K1932" s="159"/>
      <c r="L1932" s="159"/>
      <c r="M1932" s="159"/>
      <c r="N1932" s="159"/>
      <c r="O1932" s="160"/>
    </row>
    <row r="1933" ht="1.5" customHeight="1">
      <c r="A1933" s="161"/>
      <c r="B1933" s="162"/>
      <c r="C1933" s="163"/>
      <c r="D1933" s="164"/>
      <c r="E1933" s="165"/>
      <c r="F1933" s="165"/>
      <c r="G1933" s="165"/>
      <c r="H1933" s="165"/>
      <c r="I1933" s="165"/>
      <c r="J1933" s="165"/>
      <c r="K1933" s="165"/>
      <c r="L1933" s="165"/>
      <c r="M1933" s="165"/>
      <c r="N1933" s="165"/>
      <c r="O1933" s="166"/>
    </row>
    <row r="1934" ht="1.5" customHeight="1">
      <c r="A1934" s="155"/>
      <c r="B1934" s="156"/>
      <c r="C1934" s="157"/>
      <c r="D1934" s="158"/>
      <c r="E1934" s="159"/>
      <c r="F1934" s="159"/>
      <c r="G1934" s="159"/>
      <c r="H1934" s="159"/>
      <c r="I1934" s="159"/>
      <c r="J1934" s="159"/>
      <c r="K1934" s="159"/>
      <c r="L1934" s="159"/>
      <c r="M1934" s="159"/>
      <c r="N1934" s="159"/>
      <c r="O1934" s="160"/>
    </row>
    <row r="1935" ht="1.5" customHeight="1">
      <c r="A1935" s="161"/>
      <c r="B1935" s="162"/>
      <c r="C1935" s="163"/>
      <c r="D1935" s="164"/>
      <c r="E1935" s="165"/>
      <c r="F1935" s="165"/>
      <c r="G1935" s="165"/>
      <c r="H1935" s="165"/>
      <c r="I1935" s="165"/>
      <c r="J1935" s="165"/>
      <c r="K1935" s="165"/>
      <c r="L1935" s="165"/>
      <c r="M1935" s="165"/>
      <c r="N1935" s="165"/>
      <c r="O1935" s="166"/>
    </row>
    <row r="1936" ht="1.5" customHeight="1">
      <c r="A1936" s="155"/>
      <c r="B1936" s="156"/>
      <c r="C1936" s="157"/>
      <c r="D1936" s="158"/>
      <c r="E1936" s="159"/>
      <c r="F1936" s="159"/>
      <c r="G1936" s="159"/>
      <c r="H1936" s="159"/>
      <c r="I1936" s="159"/>
      <c r="J1936" s="159"/>
      <c r="K1936" s="159"/>
      <c r="L1936" s="159"/>
      <c r="M1936" s="159"/>
      <c r="N1936" s="159"/>
      <c r="O1936" s="160"/>
    </row>
    <row r="1937" ht="1.5" customHeight="1">
      <c r="A1937" s="161"/>
      <c r="B1937" s="162"/>
      <c r="C1937" s="163"/>
      <c r="D1937" s="164"/>
      <c r="E1937" s="165"/>
      <c r="F1937" s="165"/>
      <c r="G1937" s="165"/>
      <c r="H1937" s="165"/>
      <c r="I1937" s="165"/>
      <c r="J1937" s="165"/>
      <c r="K1937" s="165"/>
      <c r="L1937" s="165"/>
      <c r="M1937" s="165"/>
      <c r="N1937" s="165"/>
      <c r="O1937" s="166"/>
    </row>
    <row r="1938" ht="1.5" customHeight="1">
      <c r="A1938" s="155"/>
      <c r="B1938" s="156"/>
      <c r="C1938" s="157"/>
      <c r="D1938" s="158"/>
      <c r="E1938" s="159"/>
      <c r="F1938" s="159"/>
      <c r="G1938" s="159"/>
      <c r="H1938" s="159"/>
      <c r="I1938" s="159"/>
      <c r="J1938" s="159"/>
      <c r="K1938" s="159"/>
      <c r="L1938" s="159"/>
      <c r="M1938" s="159"/>
      <c r="N1938" s="159"/>
      <c r="O1938" s="160"/>
    </row>
    <row r="1939" ht="1.5" customHeight="1">
      <c r="A1939" s="161"/>
      <c r="B1939" s="162"/>
      <c r="C1939" s="163"/>
      <c r="D1939" s="164"/>
      <c r="E1939" s="165"/>
      <c r="F1939" s="165"/>
      <c r="G1939" s="165"/>
      <c r="H1939" s="165"/>
      <c r="I1939" s="165"/>
      <c r="J1939" s="165"/>
      <c r="K1939" s="165"/>
      <c r="L1939" s="165"/>
      <c r="M1939" s="165"/>
      <c r="N1939" s="165"/>
      <c r="O1939" s="166"/>
    </row>
    <row r="1940" ht="1.5" customHeight="1">
      <c r="A1940" s="155"/>
      <c r="B1940" s="156"/>
      <c r="C1940" s="157"/>
      <c r="D1940" s="158"/>
      <c r="E1940" s="159"/>
      <c r="F1940" s="159"/>
      <c r="G1940" s="159"/>
      <c r="H1940" s="159"/>
      <c r="I1940" s="159"/>
      <c r="J1940" s="159"/>
      <c r="K1940" s="159"/>
      <c r="L1940" s="159"/>
      <c r="M1940" s="159"/>
      <c r="N1940" s="159"/>
      <c r="O1940" s="160"/>
    </row>
    <row r="1941" ht="1.5" customHeight="1">
      <c r="A1941" s="161"/>
      <c r="B1941" s="162"/>
      <c r="C1941" s="163"/>
      <c r="D1941" s="164"/>
      <c r="E1941" s="165"/>
      <c r="F1941" s="165"/>
      <c r="G1941" s="165"/>
      <c r="H1941" s="165"/>
      <c r="I1941" s="165"/>
      <c r="J1941" s="165"/>
      <c r="K1941" s="165"/>
      <c r="L1941" s="165"/>
      <c r="M1941" s="165"/>
      <c r="N1941" s="165"/>
      <c r="O1941" s="166"/>
    </row>
    <row r="1942" ht="1.5" customHeight="1">
      <c r="A1942" s="155"/>
      <c r="B1942" s="156"/>
      <c r="C1942" s="157"/>
      <c r="D1942" s="158"/>
      <c r="E1942" s="159"/>
      <c r="F1942" s="159"/>
      <c r="G1942" s="159"/>
      <c r="H1942" s="159"/>
      <c r="I1942" s="159"/>
      <c r="J1942" s="159"/>
      <c r="K1942" s="159"/>
      <c r="L1942" s="159"/>
      <c r="M1942" s="159"/>
      <c r="N1942" s="159"/>
      <c r="O1942" s="160"/>
    </row>
    <row r="1943" ht="1.5" customHeight="1">
      <c r="A1943" s="161"/>
      <c r="B1943" s="162"/>
      <c r="C1943" s="163"/>
      <c r="D1943" s="164"/>
      <c r="E1943" s="165"/>
      <c r="F1943" s="165"/>
      <c r="G1943" s="165"/>
      <c r="H1943" s="165"/>
      <c r="I1943" s="165"/>
      <c r="J1943" s="165"/>
      <c r="K1943" s="165"/>
      <c r="L1943" s="165"/>
      <c r="M1943" s="165"/>
      <c r="N1943" s="165"/>
      <c r="O1943" s="166"/>
    </row>
    <row r="1944" ht="1.5" customHeight="1">
      <c r="A1944" s="155"/>
      <c r="B1944" s="156"/>
      <c r="C1944" s="157"/>
      <c r="D1944" s="158"/>
      <c r="E1944" s="159"/>
      <c r="F1944" s="159"/>
      <c r="G1944" s="159"/>
      <c r="H1944" s="159"/>
      <c r="I1944" s="159"/>
      <c r="J1944" s="159"/>
      <c r="K1944" s="159"/>
      <c r="L1944" s="159"/>
      <c r="M1944" s="159"/>
      <c r="N1944" s="159"/>
      <c r="O1944" s="160"/>
    </row>
    <row r="1945" ht="1.5" customHeight="1">
      <c r="A1945" s="161"/>
      <c r="B1945" s="162"/>
      <c r="C1945" s="163"/>
      <c r="D1945" s="164"/>
      <c r="E1945" s="165"/>
      <c r="F1945" s="165"/>
      <c r="G1945" s="165"/>
      <c r="H1945" s="165"/>
      <c r="I1945" s="165"/>
      <c r="J1945" s="165"/>
      <c r="K1945" s="165"/>
      <c r="L1945" s="165"/>
      <c r="M1945" s="165"/>
      <c r="N1945" s="165"/>
      <c r="O1945" s="166"/>
    </row>
    <row r="1946" ht="1.5" customHeight="1">
      <c r="A1946" s="155"/>
      <c r="B1946" s="156"/>
      <c r="C1946" s="157"/>
      <c r="D1946" s="158"/>
      <c r="E1946" s="159"/>
      <c r="F1946" s="159"/>
      <c r="G1946" s="159"/>
      <c r="H1946" s="159"/>
      <c r="I1946" s="159"/>
      <c r="J1946" s="159"/>
      <c r="K1946" s="159"/>
      <c r="L1946" s="159"/>
      <c r="M1946" s="159"/>
      <c r="N1946" s="159"/>
      <c r="O1946" s="160"/>
    </row>
    <row r="1947" ht="1.5" customHeight="1">
      <c r="A1947" s="161"/>
      <c r="B1947" s="162"/>
      <c r="C1947" s="163"/>
      <c r="D1947" s="164"/>
      <c r="E1947" s="165"/>
      <c r="F1947" s="165"/>
      <c r="G1947" s="165"/>
      <c r="H1947" s="165"/>
      <c r="I1947" s="165"/>
      <c r="J1947" s="165"/>
      <c r="K1947" s="165"/>
      <c r="L1947" s="165"/>
      <c r="M1947" s="165"/>
      <c r="N1947" s="165"/>
      <c r="O1947" s="166"/>
    </row>
    <row r="1948" ht="1.5" customHeight="1">
      <c r="A1948" s="155"/>
      <c r="B1948" s="156"/>
      <c r="C1948" s="157"/>
      <c r="D1948" s="158"/>
      <c r="E1948" s="159"/>
      <c r="F1948" s="159"/>
      <c r="G1948" s="159"/>
      <c r="H1948" s="159"/>
      <c r="I1948" s="159"/>
      <c r="J1948" s="159"/>
      <c r="K1948" s="159"/>
      <c r="L1948" s="159"/>
      <c r="M1948" s="159"/>
      <c r="N1948" s="159"/>
      <c r="O1948" s="160"/>
    </row>
    <row r="1949" ht="1.5" customHeight="1">
      <c r="A1949" s="161"/>
      <c r="B1949" s="162"/>
      <c r="C1949" s="163"/>
      <c r="D1949" s="164"/>
      <c r="E1949" s="165"/>
      <c r="F1949" s="165"/>
      <c r="G1949" s="165"/>
      <c r="H1949" s="165"/>
      <c r="I1949" s="165"/>
      <c r="J1949" s="165"/>
      <c r="K1949" s="165"/>
      <c r="L1949" s="165"/>
      <c r="M1949" s="165"/>
      <c r="N1949" s="165"/>
      <c r="O1949" s="166"/>
    </row>
    <row r="1950" ht="1.5" customHeight="1">
      <c r="A1950" s="155"/>
      <c r="B1950" s="156"/>
      <c r="C1950" s="157"/>
      <c r="D1950" s="158"/>
      <c r="E1950" s="159"/>
      <c r="F1950" s="159"/>
      <c r="G1950" s="159"/>
      <c r="H1950" s="159"/>
      <c r="I1950" s="159"/>
      <c r="J1950" s="159"/>
      <c r="K1950" s="159"/>
      <c r="L1950" s="159"/>
      <c r="M1950" s="159"/>
      <c r="N1950" s="159"/>
      <c r="O1950" s="160"/>
    </row>
    <row r="1951" ht="1.5" customHeight="1">
      <c r="A1951" s="161"/>
      <c r="B1951" s="162"/>
      <c r="C1951" s="163"/>
      <c r="D1951" s="164"/>
      <c r="E1951" s="165"/>
      <c r="F1951" s="165"/>
      <c r="G1951" s="165"/>
      <c r="H1951" s="165"/>
      <c r="I1951" s="165"/>
      <c r="J1951" s="165"/>
      <c r="K1951" s="165"/>
      <c r="L1951" s="165"/>
      <c r="M1951" s="165"/>
      <c r="N1951" s="165"/>
      <c r="O1951" s="166"/>
    </row>
    <row r="1952" ht="1.5" customHeight="1">
      <c r="A1952" s="155"/>
      <c r="B1952" s="156"/>
      <c r="C1952" s="157"/>
      <c r="D1952" s="158"/>
      <c r="E1952" s="159"/>
      <c r="F1952" s="159"/>
      <c r="G1952" s="159"/>
      <c r="H1952" s="159"/>
      <c r="I1952" s="159"/>
      <c r="J1952" s="159"/>
      <c r="K1952" s="159"/>
      <c r="L1952" s="159"/>
      <c r="M1952" s="159"/>
      <c r="N1952" s="159"/>
      <c r="O1952" s="160"/>
    </row>
    <row r="1953" ht="1.5" customHeight="1">
      <c r="A1953" s="161"/>
      <c r="B1953" s="162"/>
      <c r="C1953" s="163"/>
      <c r="D1953" s="164"/>
      <c r="E1953" s="165"/>
      <c r="F1953" s="165"/>
      <c r="G1953" s="165"/>
      <c r="H1953" s="165"/>
      <c r="I1953" s="165"/>
      <c r="J1953" s="165"/>
      <c r="K1953" s="165"/>
      <c r="L1953" s="165"/>
      <c r="M1953" s="165"/>
      <c r="N1953" s="165"/>
      <c r="O1953" s="166"/>
    </row>
    <row r="1954" ht="1.5" customHeight="1">
      <c r="A1954" s="155"/>
      <c r="B1954" s="156"/>
      <c r="C1954" s="157"/>
      <c r="D1954" s="158"/>
      <c r="E1954" s="159"/>
      <c r="F1954" s="159"/>
      <c r="G1954" s="159"/>
      <c r="H1954" s="159"/>
      <c r="I1954" s="159"/>
      <c r="J1954" s="159"/>
      <c r="K1954" s="159"/>
      <c r="L1954" s="159"/>
      <c r="M1954" s="159"/>
      <c r="N1954" s="159"/>
      <c r="O1954" s="160"/>
    </row>
    <row r="1955" ht="1.5" customHeight="1">
      <c r="A1955" s="161"/>
      <c r="B1955" s="162"/>
      <c r="C1955" s="163"/>
      <c r="D1955" s="164"/>
      <c r="E1955" s="165"/>
      <c r="F1955" s="165"/>
      <c r="G1955" s="165"/>
      <c r="H1955" s="165"/>
      <c r="I1955" s="165"/>
      <c r="J1955" s="165"/>
      <c r="K1955" s="165"/>
      <c r="L1955" s="165"/>
      <c r="M1955" s="165"/>
      <c r="N1955" s="165"/>
      <c r="O1955" s="166"/>
    </row>
    <row r="1956" ht="1.5" customHeight="1">
      <c r="A1956" s="155"/>
      <c r="B1956" s="156"/>
      <c r="C1956" s="157"/>
      <c r="D1956" s="158"/>
      <c r="E1956" s="159"/>
      <c r="F1956" s="159"/>
      <c r="G1956" s="159"/>
      <c r="H1956" s="159"/>
      <c r="I1956" s="159"/>
      <c r="J1956" s="159"/>
      <c r="K1956" s="159"/>
      <c r="L1956" s="159"/>
      <c r="M1956" s="159"/>
      <c r="N1956" s="159"/>
      <c r="O1956" s="160"/>
    </row>
    <row r="1957" ht="1.5" customHeight="1">
      <c r="A1957" s="161"/>
      <c r="B1957" s="162"/>
      <c r="C1957" s="163"/>
      <c r="D1957" s="164"/>
      <c r="E1957" s="165"/>
      <c r="F1957" s="165"/>
      <c r="G1957" s="165"/>
      <c r="H1957" s="165"/>
      <c r="I1957" s="165"/>
      <c r="J1957" s="165"/>
      <c r="K1957" s="165"/>
      <c r="L1957" s="165"/>
      <c r="M1957" s="165"/>
      <c r="N1957" s="165"/>
      <c r="O1957" s="166"/>
    </row>
    <row r="1958" ht="1.5" customHeight="1">
      <c r="A1958" s="155"/>
      <c r="B1958" s="156"/>
      <c r="C1958" s="157"/>
      <c r="D1958" s="158"/>
      <c r="E1958" s="159"/>
      <c r="F1958" s="159"/>
      <c r="G1958" s="159"/>
      <c r="H1958" s="159"/>
      <c r="I1958" s="159"/>
      <c r="J1958" s="159"/>
      <c r="K1958" s="159"/>
      <c r="L1958" s="159"/>
      <c r="M1958" s="159"/>
      <c r="N1958" s="159"/>
      <c r="O1958" s="160"/>
    </row>
    <row r="1959" ht="1.5" customHeight="1">
      <c r="A1959" s="161"/>
      <c r="B1959" s="162"/>
      <c r="C1959" s="163"/>
      <c r="D1959" s="164"/>
      <c r="E1959" s="165"/>
      <c r="F1959" s="165"/>
      <c r="G1959" s="165"/>
      <c r="H1959" s="165"/>
      <c r="I1959" s="165"/>
      <c r="J1959" s="165"/>
      <c r="K1959" s="165"/>
      <c r="L1959" s="165"/>
      <c r="M1959" s="165"/>
      <c r="N1959" s="165"/>
      <c r="O1959" s="166"/>
    </row>
    <row r="1960" ht="1.5" customHeight="1">
      <c r="A1960" s="155"/>
      <c r="B1960" s="156"/>
      <c r="C1960" s="157"/>
      <c r="D1960" s="158"/>
      <c r="E1960" s="159"/>
      <c r="F1960" s="159"/>
      <c r="G1960" s="159"/>
      <c r="H1960" s="159"/>
      <c r="I1960" s="159"/>
      <c r="J1960" s="159"/>
      <c r="K1960" s="159"/>
      <c r="L1960" s="159"/>
      <c r="M1960" s="159"/>
      <c r="N1960" s="159"/>
      <c r="O1960" s="160"/>
    </row>
    <row r="1961" ht="1.5" customHeight="1">
      <c r="A1961" s="161"/>
      <c r="B1961" s="162"/>
      <c r="C1961" s="163"/>
      <c r="D1961" s="164"/>
      <c r="E1961" s="165"/>
      <c r="F1961" s="165"/>
      <c r="G1961" s="165"/>
      <c r="H1961" s="165"/>
      <c r="I1961" s="165"/>
      <c r="J1961" s="165"/>
      <c r="K1961" s="165"/>
      <c r="L1961" s="165"/>
      <c r="M1961" s="165"/>
      <c r="N1961" s="165"/>
      <c r="O1961" s="166"/>
    </row>
    <row r="1962" ht="1.5" customHeight="1">
      <c r="A1962" s="155"/>
      <c r="B1962" s="156"/>
      <c r="C1962" s="157"/>
      <c r="D1962" s="158"/>
      <c r="E1962" s="159"/>
      <c r="F1962" s="159"/>
      <c r="G1962" s="159"/>
      <c r="H1962" s="159"/>
      <c r="I1962" s="159"/>
      <c r="J1962" s="159"/>
      <c r="K1962" s="159"/>
      <c r="L1962" s="159"/>
      <c r="M1962" s="159"/>
      <c r="N1962" s="159"/>
      <c r="O1962" s="160"/>
    </row>
    <row r="1963" ht="1.5" customHeight="1">
      <c r="A1963" s="161"/>
      <c r="B1963" s="162"/>
      <c r="C1963" s="163"/>
      <c r="D1963" s="164"/>
      <c r="E1963" s="165"/>
      <c r="F1963" s="165"/>
      <c r="G1963" s="165"/>
      <c r="H1963" s="165"/>
      <c r="I1963" s="165"/>
      <c r="J1963" s="165"/>
      <c r="K1963" s="165"/>
      <c r="L1963" s="165"/>
      <c r="M1963" s="165"/>
      <c r="N1963" s="165"/>
      <c r="O1963" s="166"/>
    </row>
    <row r="1964" ht="1.5" customHeight="1">
      <c r="A1964" s="155"/>
      <c r="B1964" s="156"/>
      <c r="C1964" s="157"/>
      <c r="D1964" s="158"/>
      <c r="E1964" s="159"/>
      <c r="F1964" s="159"/>
      <c r="G1964" s="159"/>
      <c r="H1964" s="159"/>
      <c r="I1964" s="159"/>
      <c r="J1964" s="159"/>
      <c r="K1964" s="159"/>
      <c r="L1964" s="159"/>
      <c r="M1964" s="159"/>
      <c r="N1964" s="159"/>
      <c r="O1964" s="160"/>
    </row>
    <row r="1965" ht="1.5" customHeight="1">
      <c r="A1965" s="161"/>
      <c r="B1965" s="162"/>
      <c r="C1965" s="163"/>
      <c r="D1965" s="164"/>
      <c r="E1965" s="165"/>
      <c r="F1965" s="165"/>
      <c r="G1965" s="165"/>
      <c r="H1965" s="165"/>
      <c r="I1965" s="165"/>
      <c r="J1965" s="165"/>
      <c r="K1965" s="165"/>
      <c r="L1965" s="165"/>
      <c r="M1965" s="165"/>
      <c r="N1965" s="165"/>
      <c r="O1965" s="166"/>
    </row>
    <row r="1966" ht="1.5" customHeight="1">
      <c r="A1966" s="155"/>
      <c r="B1966" s="156"/>
      <c r="C1966" s="157"/>
      <c r="D1966" s="158"/>
      <c r="E1966" s="159"/>
      <c r="F1966" s="159"/>
      <c r="G1966" s="159"/>
      <c r="H1966" s="159"/>
      <c r="I1966" s="159"/>
      <c r="J1966" s="159"/>
      <c r="K1966" s="159"/>
      <c r="L1966" s="159"/>
      <c r="M1966" s="159"/>
      <c r="N1966" s="159"/>
      <c r="O1966" s="160"/>
    </row>
    <row r="1967" ht="1.5" customHeight="1">
      <c r="A1967" s="161"/>
      <c r="B1967" s="162"/>
      <c r="C1967" s="163"/>
      <c r="D1967" s="164"/>
      <c r="E1967" s="165"/>
      <c r="F1967" s="165"/>
      <c r="G1967" s="165"/>
      <c r="H1967" s="165"/>
      <c r="I1967" s="165"/>
      <c r="J1967" s="165"/>
      <c r="K1967" s="165"/>
      <c r="L1967" s="165"/>
      <c r="M1967" s="165"/>
      <c r="N1967" s="165"/>
      <c r="O1967" s="166"/>
    </row>
    <row r="1968" ht="1.5" customHeight="1">
      <c r="A1968" s="155"/>
      <c r="B1968" s="156"/>
      <c r="C1968" s="157"/>
      <c r="D1968" s="158"/>
      <c r="E1968" s="159"/>
      <c r="F1968" s="159"/>
      <c r="G1968" s="159"/>
      <c r="H1968" s="159"/>
      <c r="I1968" s="159"/>
      <c r="J1968" s="159"/>
      <c r="K1968" s="159"/>
      <c r="L1968" s="159"/>
      <c r="M1968" s="159"/>
      <c r="N1968" s="159"/>
      <c r="O1968" s="160"/>
    </row>
    <row r="1969" ht="1.5" customHeight="1">
      <c r="A1969" s="161"/>
      <c r="B1969" s="162"/>
      <c r="C1969" s="163"/>
      <c r="D1969" s="164"/>
      <c r="E1969" s="165"/>
      <c r="F1969" s="165"/>
      <c r="G1969" s="165"/>
      <c r="H1969" s="165"/>
      <c r="I1969" s="165"/>
      <c r="J1969" s="165"/>
      <c r="K1969" s="165"/>
      <c r="L1969" s="165"/>
      <c r="M1969" s="165"/>
      <c r="N1969" s="165"/>
      <c r="O1969" s="166"/>
    </row>
    <row r="1970" ht="1.5" customHeight="1">
      <c r="A1970" s="155"/>
      <c r="B1970" s="156"/>
      <c r="C1970" s="157"/>
      <c r="D1970" s="158"/>
      <c r="E1970" s="159"/>
      <c r="F1970" s="159"/>
      <c r="G1970" s="159"/>
      <c r="H1970" s="159"/>
      <c r="I1970" s="159"/>
      <c r="J1970" s="159"/>
      <c r="K1970" s="159"/>
      <c r="L1970" s="159"/>
      <c r="M1970" s="159"/>
      <c r="N1970" s="159"/>
      <c r="O1970" s="160"/>
    </row>
    <row r="1971" ht="1.5" customHeight="1">
      <c r="A1971" s="161"/>
      <c r="B1971" s="162"/>
      <c r="C1971" s="163"/>
      <c r="D1971" s="164"/>
      <c r="E1971" s="165"/>
      <c r="F1971" s="165"/>
      <c r="G1971" s="165"/>
      <c r="H1971" s="165"/>
      <c r="I1971" s="165"/>
      <c r="J1971" s="165"/>
      <c r="K1971" s="165"/>
      <c r="L1971" s="165"/>
      <c r="M1971" s="165"/>
      <c r="N1971" s="165"/>
      <c r="O1971" s="166"/>
    </row>
    <row r="1972" ht="1.5" customHeight="1">
      <c r="A1972" s="155"/>
      <c r="B1972" s="156"/>
      <c r="C1972" s="157"/>
      <c r="D1972" s="158"/>
      <c r="E1972" s="159"/>
      <c r="F1972" s="159"/>
      <c r="G1972" s="159"/>
      <c r="H1972" s="159"/>
      <c r="I1972" s="159"/>
      <c r="J1972" s="159"/>
      <c r="K1972" s="159"/>
      <c r="L1972" s="159"/>
      <c r="M1972" s="159"/>
      <c r="N1972" s="159"/>
      <c r="O1972" s="160"/>
    </row>
    <row r="1973" ht="1.5" customHeight="1">
      <c r="A1973" s="161"/>
      <c r="B1973" s="162"/>
      <c r="C1973" s="163"/>
      <c r="D1973" s="164"/>
      <c r="E1973" s="165"/>
      <c r="F1973" s="165"/>
      <c r="G1973" s="165"/>
      <c r="H1973" s="165"/>
      <c r="I1973" s="165"/>
      <c r="J1973" s="165"/>
      <c r="K1973" s="165"/>
      <c r="L1973" s="165"/>
      <c r="M1973" s="165"/>
      <c r="N1973" s="165"/>
      <c r="O1973" s="166"/>
    </row>
    <row r="1974" ht="1.5" customHeight="1">
      <c r="A1974" s="155"/>
      <c r="B1974" s="156"/>
      <c r="C1974" s="157"/>
      <c r="D1974" s="158"/>
      <c r="E1974" s="159"/>
      <c r="F1974" s="159"/>
      <c r="G1974" s="159"/>
      <c r="H1974" s="159"/>
      <c r="I1974" s="159"/>
      <c r="J1974" s="159"/>
      <c r="K1974" s="159"/>
      <c r="L1974" s="159"/>
      <c r="M1974" s="159"/>
      <c r="N1974" s="159"/>
      <c r="O1974" s="160"/>
    </row>
    <row r="1975" ht="1.5" customHeight="1">
      <c r="A1975" s="161"/>
      <c r="B1975" s="162"/>
      <c r="C1975" s="163"/>
      <c r="D1975" s="164"/>
      <c r="E1975" s="165"/>
      <c r="F1975" s="165"/>
      <c r="G1975" s="165"/>
      <c r="H1975" s="165"/>
      <c r="I1975" s="165"/>
      <c r="J1975" s="165"/>
      <c r="K1975" s="165"/>
      <c r="L1975" s="165"/>
      <c r="M1975" s="165"/>
      <c r="N1975" s="165"/>
      <c r="O1975" s="166"/>
    </row>
    <row r="1976" ht="1.5" customHeight="1">
      <c r="A1976" s="155"/>
      <c r="B1976" s="156"/>
      <c r="C1976" s="157"/>
      <c r="D1976" s="158"/>
      <c r="E1976" s="159"/>
      <c r="F1976" s="159"/>
      <c r="G1976" s="159"/>
      <c r="H1976" s="159"/>
      <c r="I1976" s="159"/>
      <c r="J1976" s="159"/>
      <c r="K1976" s="159"/>
      <c r="L1976" s="159"/>
      <c r="M1976" s="159"/>
      <c r="N1976" s="159"/>
      <c r="O1976" s="160"/>
    </row>
    <row r="1977" ht="1.5" customHeight="1">
      <c r="A1977" s="161"/>
      <c r="B1977" s="162"/>
      <c r="C1977" s="163"/>
      <c r="D1977" s="164"/>
      <c r="E1977" s="165"/>
      <c r="F1977" s="165"/>
      <c r="G1977" s="165"/>
      <c r="H1977" s="165"/>
      <c r="I1977" s="165"/>
      <c r="J1977" s="165"/>
      <c r="K1977" s="165"/>
      <c r="L1977" s="165"/>
      <c r="M1977" s="165"/>
      <c r="N1977" s="165"/>
      <c r="O1977" s="166"/>
    </row>
    <row r="1978" ht="1.5" customHeight="1">
      <c r="A1978" s="155"/>
      <c r="B1978" s="156"/>
      <c r="C1978" s="157"/>
      <c r="D1978" s="158"/>
      <c r="E1978" s="159"/>
      <c r="F1978" s="159"/>
      <c r="G1978" s="159"/>
      <c r="H1978" s="159"/>
      <c r="I1978" s="159"/>
      <c r="J1978" s="159"/>
      <c r="K1978" s="159"/>
      <c r="L1978" s="159"/>
      <c r="M1978" s="159"/>
      <c r="N1978" s="159"/>
      <c r="O1978" s="160"/>
    </row>
    <row r="1979" ht="1.5" customHeight="1">
      <c r="A1979" s="161"/>
      <c r="B1979" s="162"/>
      <c r="C1979" s="163"/>
      <c r="D1979" s="164"/>
      <c r="E1979" s="165"/>
      <c r="F1979" s="165"/>
      <c r="G1979" s="165"/>
      <c r="H1979" s="165"/>
      <c r="I1979" s="165"/>
      <c r="J1979" s="165"/>
      <c r="K1979" s="165"/>
      <c r="L1979" s="165"/>
      <c r="M1979" s="165"/>
      <c r="N1979" s="165"/>
      <c r="O1979" s="166"/>
    </row>
    <row r="1980" ht="1.5" customHeight="1">
      <c r="A1980" s="155"/>
      <c r="B1980" s="156"/>
      <c r="C1980" s="157"/>
      <c r="D1980" s="158"/>
      <c r="E1980" s="159"/>
      <c r="F1980" s="159"/>
      <c r="G1980" s="159"/>
      <c r="H1980" s="159"/>
      <c r="I1980" s="159"/>
      <c r="J1980" s="159"/>
      <c r="K1980" s="159"/>
      <c r="L1980" s="159"/>
      <c r="M1980" s="159"/>
      <c r="N1980" s="159"/>
      <c r="O1980" s="160"/>
    </row>
    <row r="1981" ht="1.5" customHeight="1">
      <c r="A1981" s="161"/>
      <c r="B1981" s="162"/>
      <c r="C1981" s="163"/>
      <c r="D1981" s="164"/>
      <c r="E1981" s="165"/>
      <c r="F1981" s="165"/>
      <c r="G1981" s="165"/>
      <c r="H1981" s="165"/>
      <c r="I1981" s="165"/>
      <c r="J1981" s="165"/>
      <c r="K1981" s="165"/>
      <c r="L1981" s="165"/>
      <c r="M1981" s="165"/>
      <c r="N1981" s="165"/>
      <c r="O1981" s="166"/>
    </row>
    <row r="1982" ht="1.5" customHeight="1">
      <c r="A1982" s="155"/>
      <c r="B1982" s="156"/>
      <c r="C1982" s="157"/>
      <c r="D1982" s="158"/>
      <c r="E1982" s="159"/>
      <c r="F1982" s="159"/>
      <c r="G1982" s="159"/>
      <c r="H1982" s="159"/>
      <c r="I1982" s="159"/>
      <c r="J1982" s="159"/>
      <c r="K1982" s="159"/>
      <c r="L1982" s="159"/>
      <c r="M1982" s="159"/>
      <c r="N1982" s="159"/>
      <c r="O1982" s="160"/>
    </row>
    <row r="1983" ht="1.5" customHeight="1">
      <c r="A1983" s="161"/>
      <c r="B1983" s="162"/>
      <c r="C1983" s="163"/>
      <c r="D1983" s="164"/>
      <c r="E1983" s="165"/>
      <c r="F1983" s="165"/>
      <c r="G1983" s="165"/>
      <c r="H1983" s="165"/>
      <c r="I1983" s="165"/>
      <c r="J1983" s="165"/>
      <c r="K1983" s="165"/>
      <c r="L1983" s="165"/>
      <c r="M1983" s="165"/>
      <c r="N1983" s="165"/>
      <c r="O1983" s="166"/>
    </row>
    <row r="1984" ht="1.5" customHeight="1">
      <c r="A1984" s="155"/>
      <c r="B1984" s="156"/>
      <c r="C1984" s="157"/>
      <c r="D1984" s="158"/>
      <c r="E1984" s="159"/>
      <c r="F1984" s="159"/>
      <c r="G1984" s="159"/>
      <c r="H1984" s="159"/>
      <c r="I1984" s="159"/>
      <c r="J1984" s="159"/>
      <c r="K1984" s="159"/>
      <c r="L1984" s="159"/>
      <c r="M1984" s="159"/>
      <c r="N1984" s="159"/>
      <c r="O1984" s="160"/>
    </row>
    <row r="1985" ht="1.5" customHeight="1">
      <c r="A1985" s="161"/>
      <c r="B1985" s="162"/>
      <c r="C1985" s="163"/>
      <c r="D1985" s="164"/>
      <c r="E1985" s="165"/>
      <c r="F1985" s="165"/>
      <c r="G1985" s="165"/>
      <c r="H1985" s="165"/>
      <c r="I1985" s="165"/>
      <c r="J1985" s="165"/>
      <c r="K1985" s="165"/>
      <c r="L1985" s="165"/>
      <c r="M1985" s="165"/>
      <c r="N1985" s="165"/>
      <c r="O1985" s="166"/>
    </row>
    <row r="1986" ht="1.5" customHeight="1">
      <c r="A1986" s="155"/>
      <c r="B1986" s="156"/>
      <c r="C1986" s="157"/>
      <c r="D1986" s="158"/>
      <c r="E1986" s="159"/>
      <c r="F1986" s="159"/>
      <c r="G1986" s="159"/>
      <c r="H1986" s="159"/>
      <c r="I1986" s="159"/>
      <c r="J1986" s="159"/>
      <c r="K1986" s="159"/>
      <c r="L1986" s="159"/>
      <c r="M1986" s="159"/>
      <c r="N1986" s="159"/>
      <c r="O1986" s="160"/>
    </row>
    <row r="1987" ht="1.5" customHeight="1">
      <c r="A1987" s="161"/>
      <c r="B1987" s="162"/>
      <c r="C1987" s="163"/>
      <c r="D1987" s="164"/>
      <c r="E1987" s="165"/>
      <c r="F1987" s="165"/>
      <c r="G1987" s="165"/>
      <c r="H1987" s="165"/>
      <c r="I1987" s="165"/>
      <c r="J1987" s="165"/>
      <c r="K1987" s="165"/>
      <c r="L1987" s="165"/>
      <c r="M1987" s="165"/>
      <c r="N1987" s="165"/>
      <c r="O1987" s="166"/>
    </row>
    <row r="1988" ht="1.5" customHeight="1">
      <c r="A1988" s="155"/>
      <c r="B1988" s="156"/>
      <c r="C1988" s="157"/>
      <c r="D1988" s="158"/>
      <c r="E1988" s="159"/>
      <c r="F1988" s="159"/>
      <c r="G1988" s="159"/>
      <c r="H1988" s="159"/>
      <c r="I1988" s="159"/>
      <c r="J1988" s="159"/>
      <c r="K1988" s="159"/>
      <c r="L1988" s="159"/>
      <c r="M1988" s="159"/>
      <c r="N1988" s="159"/>
      <c r="O1988" s="160"/>
    </row>
    <row r="1989" ht="1.5" customHeight="1">
      <c r="A1989" s="161"/>
      <c r="B1989" s="162"/>
      <c r="C1989" s="163"/>
      <c r="D1989" s="164"/>
      <c r="E1989" s="165"/>
      <c r="F1989" s="165"/>
      <c r="G1989" s="165"/>
      <c r="H1989" s="165"/>
      <c r="I1989" s="165"/>
      <c r="J1989" s="165"/>
      <c r="K1989" s="165"/>
      <c r="L1989" s="165"/>
      <c r="M1989" s="165"/>
      <c r="N1989" s="165"/>
      <c r="O1989" s="166"/>
    </row>
    <row r="1990" ht="1.5" customHeight="1">
      <c r="A1990" s="155"/>
      <c r="B1990" s="156"/>
      <c r="C1990" s="157"/>
      <c r="D1990" s="158"/>
      <c r="E1990" s="159"/>
      <c r="F1990" s="159"/>
      <c r="G1990" s="159"/>
      <c r="H1990" s="159"/>
      <c r="I1990" s="159"/>
      <c r="J1990" s="159"/>
      <c r="K1990" s="159"/>
      <c r="L1990" s="159"/>
      <c r="M1990" s="159"/>
      <c r="N1990" s="159"/>
      <c r="O1990" s="160"/>
    </row>
    <row r="1991" ht="1.5" customHeight="1">
      <c r="A1991" s="161"/>
      <c r="B1991" s="162"/>
      <c r="C1991" s="163"/>
      <c r="D1991" s="164"/>
      <c r="E1991" s="165"/>
      <c r="F1991" s="165"/>
      <c r="G1991" s="165"/>
      <c r="H1991" s="165"/>
      <c r="I1991" s="165"/>
      <c r="J1991" s="165"/>
      <c r="K1991" s="165"/>
      <c r="L1991" s="165"/>
      <c r="M1991" s="165"/>
      <c r="N1991" s="165"/>
      <c r="O1991" s="166"/>
    </row>
    <row r="1992" ht="1.5" customHeight="1">
      <c r="A1992" s="155"/>
      <c r="B1992" s="156"/>
      <c r="C1992" s="157"/>
      <c r="D1992" s="158"/>
      <c r="E1992" s="159"/>
      <c r="F1992" s="159"/>
      <c r="G1992" s="159"/>
      <c r="H1992" s="159"/>
      <c r="I1992" s="159"/>
      <c r="J1992" s="159"/>
      <c r="K1992" s="159"/>
      <c r="L1992" s="159"/>
      <c r="M1992" s="159"/>
      <c r="N1992" s="159"/>
      <c r="O1992" s="160"/>
    </row>
    <row r="1993" ht="1.5" customHeight="1">
      <c r="A1993" s="161"/>
      <c r="B1993" s="162"/>
      <c r="C1993" s="163"/>
      <c r="D1993" s="164"/>
      <c r="E1993" s="165"/>
      <c r="F1993" s="165"/>
      <c r="G1993" s="165"/>
      <c r="H1993" s="165"/>
      <c r="I1993" s="165"/>
      <c r="J1993" s="165"/>
      <c r="K1993" s="165"/>
      <c r="L1993" s="165"/>
      <c r="M1993" s="165"/>
      <c r="N1993" s="165"/>
      <c r="O1993" s="166"/>
    </row>
    <row r="1994" ht="1.5" customHeight="1">
      <c r="A1994" s="155"/>
      <c r="B1994" s="156"/>
      <c r="C1994" s="157"/>
      <c r="D1994" s="158"/>
      <c r="E1994" s="159"/>
      <c r="F1994" s="159"/>
      <c r="G1994" s="159"/>
      <c r="H1994" s="159"/>
      <c r="I1994" s="159"/>
      <c r="J1994" s="159"/>
      <c r="K1994" s="159"/>
      <c r="L1994" s="159"/>
      <c r="M1994" s="159"/>
      <c r="N1994" s="159"/>
      <c r="O1994" s="160"/>
    </row>
    <row r="1995" ht="1.5" customHeight="1">
      <c r="A1995" s="161"/>
      <c r="B1995" s="162"/>
      <c r="C1995" s="163"/>
      <c r="D1995" s="164"/>
      <c r="E1995" s="165"/>
      <c r="F1995" s="165"/>
      <c r="G1995" s="165"/>
      <c r="H1995" s="165"/>
      <c r="I1995" s="165"/>
      <c r="J1995" s="165"/>
      <c r="K1995" s="165"/>
      <c r="L1995" s="165"/>
      <c r="M1995" s="165"/>
      <c r="N1995" s="165"/>
      <c r="O1995" s="166"/>
    </row>
    <row r="1996" ht="1.5" customHeight="1">
      <c r="A1996" s="155"/>
      <c r="B1996" s="156"/>
      <c r="C1996" s="157"/>
      <c r="D1996" s="158"/>
      <c r="E1996" s="159"/>
      <c r="F1996" s="159"/>
      <c r="G1996" s="159"/>
      <c r="H1996" s="159"/>
      <c r="I1996" s="159"/>
      <c r="J1996" s="159"/>
      <c r="K1996" s="159"/>
      <c r="L1996" s="159"/>
      <c r="M1996" s="159"/>
      <c r="N1996" s="159"/>
      <c r="O1996" s="160"/>
    </row>
    <row r="1997" ht="1.5" customHeight="1">
      <c r="A1997" s="161"/>
      <c r="B1997" s="162"/>
      <c r="C1997" s="163"/>
      <c r="D1997" s="164"/>
      <c r="E1997" s="165"/>
      <c r="F1997" s="165"/>
      <c r="G1997" s="165"/>
      <c r="H1997" s="165"/>
      <c r="I1997" s="165"/>
      <c r="J1997" s="165"/>
      <c r="K1997" s="165"/>
      <c r="L1997" s="165"/>
      <c r="M1997" s="165"/>
      <c r="N1997" s="165"/>
      <c r="O1997" s="166"/>
    </row>
    <row r="1998" ht="1.5" customHeight="1">
      <c r="A1998" s="155"/>
      <c r="B1998" s="156"/>
      <c r="C1998" s="157"/>
      <c r="D1998" s="158"/>
      <c r="E1998" s="159"/>
      <c r="F1998" s="159"/>
      <c r="G1998" s="159"/>
      <c r="H1998" s="159"/>
      <c r="I1998" s="159"/>
      <c r="J1998" s="159"/>
      <c r="K1998" s="159"/>
      <c r="L1998" s="159"/>
      <c r="M1998" s="159"/>
      <c r="N1998" s="159"/>
      <c r="O1998" s="160"/>
    </row>
    <row r="1999" ht="1.5" customHeight="1">
      <c r="A1999" s="161"/>
      <c r="B1999" s="162"/>
      <c r="C1999" s="163"/>
      <c r="D1999" s="164"/>
      <c r="E1999" s="165"/>
      <c r="F1999" s="165"/>
      <c r="G1999" s="165"/>
      <c r="H1999" s="165"/>
      <c r="I1999" s="165"/>
      <c r="J1999" s="165"/>
      <c r="K1999" s="165"/>
      <c r="L1999" s="165"/>
      <c r="M1999" s="165"/>
      <c r="N1999" s="165"/>
      <c r="O1999" s="166"/>
    </row>
    <row r="2000" ht="1.5" customHeight="1">
      <c r="A2000" s="155"/>
      <c r="B2000" s="156"/>
      <c r="C2000" s="157"/>
      <c r="D2000" s="158"/>
      <c r="E2000" s="159"/>
      <c r="F2000" s="159"/>
      <c r="G2000" s="159"/>
      <c r="H2000" s="159"/>
      <c r="I2000" s="159"/>
      <c r="J2000" s="159"/>
      <c r="K2000" s="159"/>
      <c r="L2000" s="159"/>
      <c r="M2000" s="159"/>
      <c r="N2000" s="159"/>
      <c r="O2000" s="160"/>
    </row>
    <row r="2001" ht="1.5" customHeight="1">
      <c r="A2001" s="161"/>
      <c r="B2001" s="162"/>
      <c r="C2001" s="163"/>
      <c r="D2001" s="164"/>
      <c r="E2001" s="165"/>
      <c r="F2001" s="165"/>
      <c r="G2001" s="165"/>
      <c r="H2001" s="165"/>
      <c r="I2001" s="165"/>
      <c r="J2001" s="165"/>
      <c r="K2001" s="165"/>
      <c r="L2001" s="165"/>
      <c r="M2001" s="165"/>
      <c r="N2001" s="165"/>
      <c r="O2001" s="166"/>
    </row>
    <row r="2002" ht="1.5" customHeight="1">
      <c r="A2002" s="155"/>
      <c r="B2002" s="156"/>
      <c r="C2002" s="157"/>
      <c r="D2002" s="158"/>
      <c r="E2002" s="159"/>
      <c r="F2002" s="159"/>
      <c r="G2002" s="159"/>
      <c r="H2002" s="159"/>
      <c r="I2002" s="159"/>
      <c r="J2002" s="159"/>
      <c r="K2002" s="159"/>
      <c r="L2002" s="159"/>
      <c r="M2002" s="159"/>
      <c r="N2002" s="159"/>
      <c r="O2002" s="160"/>
    </row>
    <row r="2003" ht="1.5" customHeight="1">
      <c r="A2003" s="161"/>
      <c r="B2003" s="162"/>
      <c r="C2003" s="163"/>
      <c r="D2003" s="164"/>
      <c r="E2003" s="165"/>
      <c r="F2003" s="165"/>
      <c r="G2003" s="165"/>
      <c r="H2003" s="165"/>
      <c r="I2003" s="165"/>
      <c r="J2003" s="165"/>
      <c r="K2003" s="165"/>
      <c r="L2003" s="165"/>
      <c r="M2003" s="165"/>
      <c r="N2003" s="165"/>
      <c r="O2003" s="166"/>
    </row>
    <row r="2004" ht="1.5" customHeight="1">
      <c r="A2004" s="155"/>
      <c r="B2004" s="156"/>
      <c r="C2004" s="157"/>
      <c r="D2004" s="158"/>
      <c r="E2004" s="159"/>
      <c r="F2004" s="159"/>
      <c r="G2004" s="159"/>
      <c r="H2004" s="159"/>
      <c r="I2004" s="159"/>
      <c r="J2004" s="159"/>
      <c r="K2004" s="159"/>
      <c r="L2004" s="159"/>
      <c r="M2004" s="159"/>
      <c r="N2004" s="159"/>
      <c r="O2004" s="160"/>
    </row>
    <row r="2005" ht="1.5" customHeight="1">
      <c r="A2005" s="161"/>
      <c r="B2005" s="162"/>
      <c r="C2005" s="163"/>
      <c r="D2005" s="164"/>
      <c r="E2005" s="165"/>
      <c r="F2005" s="165"/>
      <c r="G2005" s="165"/>
      <c r="H2005" s="165"/>
      <c r="I2005" s="165"/>
      <c r="J2005" s="165"/>
      <c r="K2005" s="165"/>
      <c r="L2005" s="165"/>
      <c r="M2005" s="165"/>
      <c r="N2005" s="165"/>
      <c r="O2005" s="166"/>
    </row>
    <row r="2006" ht="1.5" customHeight="1">
      <c r="A2006" s="155"/>
      <c r="B2006" s="156"/>
      <c r="C2006" s="157"/>
      <c r="D2006" s="158"/>
      <c r="E2006" s="159"/>
      <c r="F2006" s="159"/>
      <c r="G2006" s="159"/>
      <c r="H2006" s="159"/>
      <c r="I2006" s="159"/>
      <c r="J2006" s="159"/>
      <c r="K2006" s="159"/>
      <c r="L2006" s="159"/>
      <c r="M2006" s="159"/>
      <c r="N2006" s="159"/>
      <c r="O2006" s="160"/>
    </row>
    <row r="2007" ht="1.5" customHeight="1">
      <c r="A2007" s="161"/>
      <c r="B2007" s="162"/>
      <c r="C2007" s="163"/>
      <c r="D2007" s="164"/>
      <c r="E2007" s="165"/>
      <c r="F2007" s="165"/>
      <c r="G2007" s="165"/>
      <c r="H2007" s="165"/>
      <c r="I2007" s="165"/>
      <c r="J2007" s="165"/>
      <c r="K2007" s="165"/>
      <c r="L2007" s="165"/>
      <c r="M2007" s="165"/>
      <c r="N2007" s="165"/>
      <c r="O2007" s="166"/>
    </row>
    <row r="2008" ht="1.5" customHeight="1">
      <c r="A2008" s="155"/>
      <c r="B2008" s="156"/>
      <c r="C2008" s="157"/>
      <c r="D2008" s="158"/>
      <c r="E2008" s="159"/>
      <c r="F2008" s="159"/>
      <c r="G2008" s="159"/>
      <c r="H2008" s="159"/>
      <c r="I2008" s="159"/>
      <c r="J2008" s="159"/>
      <c r="K2008" s="159"/>
      <c r="L2008" s="159"/>
      <c r="M2008" s="159"/>
      <c r="N2008" s="159"/>
      <c r="O2008" s="160"/>
    </row>
    <row r="2009" ht="1.5" customHeight="1">
      <c r="A2009" s="161"/>
      <c r="B2009" s="162"/>
      <c r="C2009" s="163"/>
      <c r="D2009" s="164"/>
      <c r="E2009" s="165"/>
      <c r="F2009" s="165"/>
      <c r="G2009" s="165"/>
      <c r="H2009" s="165"/>
      <c r="I2009" s="165"/>
      <c r="J2009" s="165"/>
      <c r="K2009" s="165"/>
      <c r="L2009" s="165"/>
      <c r="M2009" s="165"/>
      <c r="N2009" s="165"/>
      <c r="O2009" s="166"/>
    </row>
    <row r="2010" ht="1.5" customHeight="1">
      <c r="A2010" s="155"/>
      <c r="B2010" s="156"/>
      <c r="C2010" s="157"/>
      <c r="D2010" s="158"/>
      <c r="E2010" s="159"/>
      <c r="F2010" s="159"/>
      <c r="G2010" s="159"/>
      <c r="H2010" s="159"/>
      <c r="I2010" s="159"/>
      <c r="J2010" s="159"/>
      <c r="K2010" s="159"/>
      <c r="L2010" s="159"/>
      <c r="M2010" s="159"/>
      <c r="N2010" s="159"/>
      <c r="O2010" s="160"/>
    </row>
    <row r="2011" ht="1.5" customHeight="1">
      <c r="A2011" s="161"/>
      <c r="B2011" s="162"/>
      <c r="C2011" s="163"/>
      <c r="D2011" s="164"/>
      <c r="E2011" s="165"/>
      <c r="F2011" s="165"/>
      <c r="G2011" s="165"/>
      <c r="H2011" s="165"/>
      <c r="I2011" s="165"/>
      <c r="J2011" s="165"/>
      <c r="K2011" s="165"/>
      <c r="L2011" s="165"/>
      <c r="M2011" s="165"/>
      <c r="N2011" s="165"/>
      <c r="O2011" s="166"/>
    </row>
    <row r="2012" ht="1.5" customHeight="1">
      <c r="A2012" s="155"/>
      <c r="B2012" s="156"/>
      <c r="C2012" s="157"/>
      <c r="D2012" s="158"/>
      <c r="E2012" s="159"/>
      <c r="F2012" s="159"/>
      <c r="G2012" s="159"/>
      <c r="H2012" s="159"/>
      <c r="I2012" s="159"/>
      <c r="J2012" s="159"/>
      <c r="K2012" s="159"/>
      <c r="L2012" s="159"/>
      <c r="M2012" s="159"/>
      <c r="N2012" s="159"/>
      <c r="O2012" s="160"/>
    </row>
    <row r="2013" ht="1.5" customHeight="1">
      <c r="A2013" s="161"/>
      <c r="B2013" s="162"/>
      <c r="C2013" s="163"/>
      <c r="D2013" s="164"/>
      <c r="E2013" s="165"/>
      <c r="F2013" s="165"/>
      <c r="G2013" s="165"/>
      <c r="H2013" s="165"/>
      <c r="I2013" s="165"/>
      <c r="J2013" s="165"/>
      <c r="K2013" s="165"/>
      <c r="L2013" s="165"/>
      <c r="M2013" s="165"/>
      <c r="N2013" s="165"/>
      <c r="O2013" s="166"/>
    </row>
    <row r="2014" ht="1.5" customHeight="1">
      <c r="A2014" s="155"/>
      <c r="B2014" s="156"/>
      <c r="C2014" s="157"/>
      <c r="D2014" s="158"/>
      <c r="E2014" s="159"/>
      <c r="F2014" s="159"/>
      <c r="G2014" s="159"/>
      <c r="H2014" s="159"/>
      <c r="I2014" s="159"/>
      <c r="J2014" s="159"/>
      <c r="K2014" s="159"/>
      <c r="L2014" s="159"/>
      <c r="M2014" s="159"/>
      <c r="N2014" s="159"/>
      <c r="O2014" s="160"/>
    </row>
    <row r="2015" ht="1.5" customHeight="1">
      <c r="A2015" s="161"/>
      <c r="B2015" s="162"/>
      <c r="C2015" s="163"/>
      <c r="D2015" s="164"/>
      <c r="E2015" s="165"/>
      <c r="F2015" s="165"/>
      <c r="G2015" s="165"/>
      <c r="H2015" s="165"/>
      <c r="I2015" s="165"/>
      <c r="J2015" s="165"/>
      <c r="K2015" s="165"/>
      <c r="L2015" s="165"/>
      <c r="M2015" s="165"/>
      <c r="N2015" s="165"/>
      <c r="O2015" s="166"/>
    </row>
    <row r="2016" ht="1.5" customHeight="1">
      <c r="A2016" s="155"/>
      <c r="B2016" s="156"/>
      <c r="C2016" s="157"/>
      <c r="D2016" s="158"/>
      <c r="E2016" s="159"/>
      <c r="F2016" s="159"/>
      <c r="G2016" s="159"/>
      <c r="H2016" s="159"/>
      <c r="I2016" s="159"/>
      <c r="J2016" s="159"/>
      <c r="K2016" s="159"/>
      <c r="L2016" s="159"/>
      <c r="M2016" s="159"/>
      <c r="N2016" s="159"/>
      <c r="O2016" s="160"/>
    </row>
    <row r="2017" ht="1.5" customHeight="1">
      <c r="A2017" s="161"/>
      <c r="B2017" s="162"/>
      <c r="C2017" s="163"/>
      <c r="D2017" s="164"/>
      <c r="E2017" s="165"/>
      <c r="F2017" s="165"/>
      <c r="G2017" s="165"/>
      <c r="H2017" s="165"/>
      <c r="I2017" s="165"/>
      <c r="J2017" s="165"/>
      <c r="K2017" s="165"/>
      <c r="L2017" s="165"/>
      <c r="M2017" s="165"/>
      <c r="N2017" s="165"/>
      <c r="O2017" s="166"/>
    </row>
    <row r="2018" ht="1.5" customHeight="1">
      <c r="A2018" s="155"/>
      <c r="B2018" s="156"/>
      <c r="C2018" s="157"/>
      <c r="D2018" s="158"/>
      <c r="E2018" s="159"/>
      <c r="F2018" s="159"/>
      <c r="G2018" s="159"/>
      <c r="H2018" s="159"/>
      <c r="I2018" s="159"/>
      <c r="J2018" s="159"/>
      <c r="K2018" s="159"/>
      <c r="L2018" s="159"/>
      <c r="M2018" s="159"/>
      <c r="N2018" s="159"/>
      <c r="O2018" s="160"/>
    </row>
    <row r="2019" ht="1.5" customHeight="1">
      <c r="A2019" s="161"/>
      <c r="B2019" s="162"/>
      <c r="C2019" s="163"/>
      <c r="D2019" s="164"/>
      <c r="E2019" s="165"/>
      <c r="F2019" s="165"/>
      <c r="G2019" s="165"/>
      <c r="H2019" s="165"/>
      <c r="I2019" s="165"/>
      <c r="J2019" s="165"/>
      <c r="K2019" s="165"/>
      <c r="L2019" s="165"/>
      <c r="M2019" s="165"/>
      <c r="N2019" s="165"/>
      <c r="O2019" s="166"/>
    </row>
    <row r="2020" ht="1.5" customHeight="1">
      <c r="A2020" s="155"/>
      <c r="B2020" s="156"/>
      <c r="C2020" s="157"/>
      <c r="D2020" s="158"/>
      <c r="E2020" s="159"/>
      <c r="F2020" s="159"/>
      <c r="G2020" s="159"/>
      <c r="H2020" s="159"/>
      <c r="I2020" s="159"/>
      <c r="J2020" s="159"/>
      <c r="K2020" s="159"/>
      <c r="L2020" s="159"/>
      <c r="M2020" s="159"/>
      <c r="N2020" s="159"/>
      <c r="O2020" s="160"/>
    </row>
    <row r="2021" ht="1.5" customHeight="1">
      <c r="A2021" s="161"/>
      <c r="B2021" s="162"/>
      <c r="C2021" s="163"/>
      <c r="D2021" s="164"/>
      <c r="E2021" s="165"/>
      <c r="F2021" s="165"/>
      <c r="G2021" s="165"/>
      <c r="H2021" s="165"/>
      <c r="I2021" s="165"/>
      <c r="J2021" s="165"/>
      <c r="K2021" s="165"/>
      <c r="L2021" s="165"/>
      <c r="M2021" s="165"/>
      <c r="N2021" s="165"/>
      <c r="O2021" s="166"/>
    </row>
    <row r="2022" ht="1.5" customHeight="1">
      <c r="A2022" s="155"/>
      <c r="B2022" s="156"/>
      <c r="C2022" s="157"/>
      <c r="D2022" s="158"/>
      <c r="E2022" s="159"/>
      <c r="F2022" s="159"/>
      <c r="G2022" s="159"/>
      <c r="H2022" s="159"/>
      <c r="I2022" s="159"/>
      <c r="J2022" s="159"/>
      <c r="K2022" s="159"/>
      <c r="L2022" s="159"/>
      <c r="M2022" s="159"/>
      <c r="N2022" s="159"/>
      <c r="O2022" s="160"/>
    </row>
    <row r="2023" ht="1.5" customHeight="1">
      <c r="A2023" s="161"/>
      <c r="B2023" s="162"/>
      <c r="C2023" s="163"/>
      <c r="D2023" s="164"/>
      <c r="E2023" s="165"/>
      <c r="F2023" s="165"/>
      <c r="G2023" s="165"/>
      <c r="H2023" s="165"/>
      <c r="I2023" s="165"/>
      <c r="J2023" s="165"/>
      <c r="K2023" s="165"/>
      <c r="L2023" s="165"/>
      <c r="M2023" s="165"/>
      <c r="N2023" s="165"/>
      <c r="O2023" s="166"/>
    </row>
    <row r="2024" ht="1.5" customHeight="1">
      <c r="A2024" s="155"/>
      <c r="B2024" s="156"/>
      <c r="C2024" s="157"/>
      <c r="D2024" s="158"/>
      <c r="E2024" s="159"/>
      <c r="F2024" s="159"/>
      <c r="G2024" s="159"/>
      <c r="H2024" s="159"/>
      <c r="I2024" s="159"/>
      <c r="J2024" s="159"/>
      <c r="K2024" s="159"/>
      <c r="L2024" s="159"/>
      <c r="M2024" s="159"/>
      <c r="N2024" s="159"/>
      <c r="O2024" s="160"/>
    </row>
    <row r="2025" ht="1.5" customHeight="1">
      <c r="A2025" s="161"/>
      <c r="B2025" s="162"/>
      <c r="C2025" s="163"/>
      <c r="D2025" s="164"/>
      <c r="E2025" s="165"/>
      <c r="F2025" s="165"/>
      <c r="G2025" s="165"/>
      <c r="H2025" s="165"/>
      <c r="I2025" s="165"/>
      <c r="J2025" s="165"/>
      <c r="K2025" s="165"/>
      <c r="L2025" s="165"/>
      <c r="M2025" s="165"/>
      <c r="N2025" s="165"/>
      <c r="O2025" s="166"/>
    </row>
    <row r="2026" ht="1.5" customHeight="1">
      <c r="A2026" s="155"/>
      <c r="B2026" s="156"/>
      <c r="C2026" s="157"/>
      <c r="D2026" s="158"/>
      <c r="E2026" s="159"/>
      <c r="F2026" s="159"/>
      <c r="G2026" s="159"/>
      <c r="H2026" s="159"/>
      <c r="I2026" s="159"/>
      <c r="J2026" s="159"/>
      <c r="K2026" s="159"/>
      <c r="L2026" s="159"/>
      <c r="M2026" s="159"/>
      <c r="N2026" s="159"/>
      <c r="O2026" s="160"/>
    </row>
    <row r="2027" ht="1.5" customHeight="1">
      <c r="A2027" s="161"/>
      <c r="B2027" s="162"/>
      <c r="C2027" s="163"/>
      <c r="D2027" s="164"/>
      <c r="E2027" s="165"/>
      <c r="F2027" s="165"/>
      <c r="G2027" s="165"/>
      <c r="H2027" s="165"/>
      <c r="I2027" s="165"/>
      <c r="J2027" s="165"/>
      <c r="K2027" s="165"/>
      <c r="L2027" s="165"/>
      <c r="M2027" s="165"/>
      <c r="N2027" s="165"/>
      <c r="O2027" s="166"/>
    </row>
    <row r="2028" ht="1.5" customHeight="1">
      <c r="A2028" s="155"/>
      <c r="B2028" s="156"/>
      <c r="C2028" s="157"/>
      <c r="D2028" s="158"/>
      <c r="E2028" s="159"/>
      <c r="F2028" s="159"/>
      <c r="G2028" s="159"/>
      <c r="H2028" s="159"/>
      <c r="I2028" s="159"/>
      <c r="J2028" s="159"/>
      <c r="K2028" s="159"/>
      <c r="L2028" s="159"/>
      <c r="M2028" s="159"/>
      <c r="N2028" s="159"/>
      <c r="O2028" s="160"/>
    </row>
    <row r="2029" ht="1.5" customHeight="1">
      <c r="A2029" s="161"/>
      <c r="B2029" s="162"/>
      <c r="C2029" s="163"/>
      <c r="D2029" s="164"/>
      <c r="E2029" s="165"/>
      <c r="F2029" s="165"/>
      <c r="G2029" s="165"/>
      <c r="H2029" s="165"/>
      <c r="I2029" s="165"/>
      <c r="J2029" s="165"/>
      <c r="K2029" s="165"/>
      <c r="L2029" s="165"/>
      <c r="M2029" s="165"/>
      <c r="N2029" s="165"/>
      <c r="O2029" s="166"/>
    </row>
    <row r="2030" ht="1.5" customHeight="1">
      <c r="A2030" s="155"/>
      <c r="B2030" s="156"/>
      <c r="C2030" s="157"/>
      <c r="D2030" s="158"/>
      <c r="E2030" s="159"/>
      <c r="F2030" s="159"/>
      <c r="G2030" s="159"/>
      <c r="H2030" s="159"/>
      <c r="I2030" s="159"/>
      <c r="J2030" s="159"/>
      <c r="K2030" s="159"/>
      <c r="L2030" s="159"/>
      <c r="M2030" s="159"/>
      <c r="N2030" s="159"/>
      <c r="O2030" s="160"/>
    </row>
    <row r="2031" ht="1.5" customHeight="1">
      <c r="A2031" s="161"/>
      <c r="B2031" s="162"/>
      <c r="C2031" s="163"/>
      <c r="D2031" s="164"/>
      <c r="E2031" s="165"/>
      <c r="F2031" s="165"/>
      <c r="G2031" s="165"/>
      <c r="H2031" s="165"/>
      <c r="I2031" s="165"/>
      <c r="J2031" s="165"/>
      <c r="K2031" s="165"/>
      <c r="L2031" s="165"/>
      <c r="M2031" s="165"/>
      <c r="N2031" s="165"/>
      <c r="O2031" s="166"/>
    </row>
    <row r="2032" ht="1.5" customHeight="1">
      <c r="A2032" s="155"/>
      <c r="B2032" s="156"/>
      <c r="C2032" s="157"/>
      <c r="D2032" s="158"/>
      <c r="E2032" s="159"/>
      <c r="F2032" s="159"/>
      <c r="G2032" s="159"/>
      <c r="H2032" s="159"/>
      <c r="I2032" s="159"/>
      <c r="J2032" s="159"/>
      <c r="K2032" s="159"/>
      <c r="L2032" s="159"/>
      <c r="M2032" s="159"/>
      <c r="N2032" s="159"/>
      <c r="O2032" s="160"/>
    </row>
    <row r="2033" ht="1.5" customHeight="1">
      <c r="A2033" s="161"/>
      <c r="B2033" s="162"/>
      <c r="C2033" s="163"/>
      <c r="D2033" s="164"/>
      <c r="E2033" s="165"/>
      <c r="F2033" s="165"/>
      <c r="G2033" s="165"/>
      <c r="H2033" s="165"/>
      <c r="I2033" s="165"/>
      <c r="J2033" s="165"/>
      <c r="K2033" s="165"/>
      <c r="L2033" s="165"/>
      <c r="M2033" s="165"/>
      <c r="N2033" s="165"/>
      <c r="O2033" s="166"/>
    </row>
    <row r="2034" ht="1.5" customHeight="1">
      <c r="A2034" s="155"/>
      <c r="B2034" s="156"/>
      <c r="C2034" s="157"/>
      <c r="D2034" s="158"/>
      <c r="E2034" s="159"/>
      <c r="F2034" s="159"/>
      <c r="G2034" s="159"/>
      <c r="H2034" s="159"/>
      <c r="I2034" s="159"/>
      <c r="J2034" s="159"/>
      <c r="K2034" s="159"/>
      <c r="L2034" s="159"/>
      <c r="M2034" s="159"/>
      <c r="N2034" s="159"/>
      <c r="O2034" s="160"/>
    </row>
    <row r="2035" ht="1.5" customHeight="1">
      <c r="A2035" s="161"/>
      <c r="B2035" s="162"/>
      <c r="C2035" s="163"/>
      <c r="D2035" s="164"/>
      <c r="E2035" s="165"/>
      <c r="F2035" s="165"/>
      <c r="G2035" s="165"/>
      <c r="H2035" s="165"/>
      <c r="I2035" s="165"/>
      <c r="J2035" s="165"/>
      <c r="K2035" s="165"/>
      <c r="L2035" s="165"/>
      <c r="M2035" s="165"/>
      <c r="N2035" s="165"/>
      <c r="O2035" s="166"/>
    </row>
    <row r="2036" ht="1.5" customHeight="1">
      <c r="A2036" s="155"/>
      <c r="B2036" s="156"/>
      <c r="C2036" s="157"/>
      <c r="D2036" s="158"/>
      <c r="E2036" s="159"/>
      <c r="F2036" s="159"/>
      <c r="G2036" s="159"/>
      <c r="H2036" s="159"/>
      <c r="I2036" s="159"/>
      <c r="J2036" s="159"/>
      <c r="K2036" s="159"/>
      <c r="L2036" s="159"/>
      <c r="M2036" s="159"/>
      <c r="N2036" s="159"/>
      <c r="O2036" s="160"/>
    </row>
    <row r="2037" ht="1.5" customHeight="1">
      <c r="A2037" s="161"/>
      <c r="B2037" s="162"/>
      <c r="C2037" s="163"/>
      <c r="D2037" s="164"/>
      <c r="E2037" s="165"/>
      <c r="F2037" s="165"/>
      <c r="G2037" s="165"/>
      <c r="H2037" s="165"/>
      <c r="I2037" s="165"/>
      <c r="J2037" s="165"/>
      <c r="K2037" s="165"/>
      <c r="L2037" s="165"/>
      <c r="M2037" s="165"/>
      <c r="N2037" s="165"/>
      <c r="O2037" s="166"/>
    </row>
    <row r="2038" ht="1.5" customHeight="1">
      <c r="A2038" s="155"/>
      <c r="B2038" s="156"/>
      <c r="C2038" s="157"/>
      <c r="D2038" s="158"/>
      <c r="E2038" s="159"/>
      <c r="F2038" s="159"/>
      <c r="G2038" s="159"/>
      <c r="H2038" s="159"/>
      <c r="I2038" s="159"/>
      <c r="J2038" s="159"/>
      <c r="K2038" s="159"/>
      <c r="L2038" s="159"/>
      <c r="M2038" s="159"/>
      <c r="N2038" s="159"/>
      <c r="O2038" s="160"/>
    </row>
    <row r="2039" ht="1.5" customHeight="1">
      <c r="A2039" s="161"/>
      <c r="B2039" s="162"/>
      <c r="C2039" s="163"/>
      <c r="D2039" s="164"/>
      <c r="E2039" s="165"/>
      <c r="F2039" s="165"/>
      <c r="G2039" s="165"/>
      <c r="H2039" s="165"/>
      <c r="I2039" s="165"/>
      <c r="J2039" s="165"/>
      <c r="K2039" s="165"/>
      <c r="L2039" s="165"/>
      <c r="M2039" s="165"/>
      <c r="N2039" s="165"/>
      <c r="O2039" s="166"/>
    </row>
    <row r="2040" ht="1.5" customHeight="1">
      <c r="A2040" s="155"/>
      <c r="B2040" s="156"/>
      <c r="C2040" s="157"/>
      <c r="D2040" s="158"/>
      <c r="E2040" s="159"/>
      <c r="F2040" s="159"/>
      <c r="G2040" s="159"/>
      <c r="H2040" s="159"/>
      <c r="I2040" s="159"/>
      <c r="J2040" s="159"/>
      <c r="K2040" s="159"/>
      <c r="L2040" s="159"/>
      <c r="M2040" s="159"/>
      <c r="N2040" s="159"/>
      <c r="O2040" s="160"/>
    </row>
    <row r="2041" ht="1.5" customHeight="1">
      <c r="A2041" s="161"/>
      <c r="B2041" s="162"/>
      <c r="C2041" s="163"/>
      <c r="D2041" s="164"/>
      <c r="E2041" s="165"/>
      <c r="F2041" s="165"/>
      <c r="G2041" s="165"/>
      <c r="H2041" s="165"/>
      <c r="I2041" s="165"/>
      <c r="J2041" s="165"/>
      <c r="K2041" s="165"/>
      <c r="L2041" s="165"/>
      <c r="M2041" s="165"/>
      <c r="N2041" s="165"/>
      <c r="O2041" s="166"/>
    </row>
    <row r="2042" ht="1.5" customHeight="1">
      <c r="A2042" s="155"/>
      <c r="B2042" s="156"/>
      <c r="C2042" s="157"/>
      <c r="D2042" s="158"/>
      <c r="E2042" s="159"/>
      <c r="F2042" s="159"/>
      <c r="G2042" s="159"/>
      <c r="H2042" s="159"/>
      <c r="I2042" s="159"/>
      <c r="J2042" s="159"/>
      <c r="K2042" s="159"/>
      <c r="L2042" s="159"/>
      <c r="M2042" s="159"/>
      <c r="N2042" s="159"/>
      <c r="O2042" s="160"/>
    </row>
    <row r="2043" ht="1.5" customHeight="1">
      <c r="A2043" s="161"/>
      <c r="B2043" s="162"/>
      <c r="C2043" s="163"/>
      <c r="D2043" s="164"/>
      <c r="E2043" s="165"/>
      <c r="F2043" s="165"/>
      <c r="G2043" s="165"/>
      <c r="H2043" s="165"/>
      <c r="I2043" s="165"/>
      <c r="J2043" s="165"/>
      <c r="K2043" s="165"/>
      <c r="L2043" s="165"/>
      <c r="M2043" s="165"/>
      <c r="N2043" s="165"/>
      <c r="O2043" s="166"/>
    </row>
    <row r="2044" ht="1.5" customHeight="1">
      <c r="A2044" s="155"/>
      <c r="B2044" s="156"/>
      <c r="C2044" s="157"/>
      <c r="D2044" s="158"/>
      <c r="E2044" s="159"/>
      <c r="F2044" s="159"/>
      <c r="G2044" s="159"/>
      <c r="H2044" s="159"/>
      <c r="I2044" s="159"/>
      <c r="J2044" s="159"/>
      <c r="K2044" s="159"/>
      <c r="L2044" s="159"/>
      <c r="M2044" s="159"/>
      <c r="N2044" s="159"/>
      <c r="O2044" s="160"/>
    </row>
    <row r="2045" ht="1.5" customHeight="1">
      <c r="A2045" s="161"/>
      <c r="B2045" s="162"/>
      <c r="C2045" s="163"/>
      <c r="D2045" s="164"/>
      <c r="E2045" s="165"/>
      <c r="F2045" s="165"/>
      <c r="G2045" s="165"/>
      <c r="H2045" s="165"/>
      <c r="I2045" s="165"/>
      <c r="J2045" s="165"/>
      <c r="K2045" s="165"/>
      <c r="L2045" s="165"/>
      <c r="M2045" s="165"/>
      <c r="N2045" s="165"/>
      <c r="O2045" s="166"/>
    </row>
    <row r="2046" ht="1.5" customHeight="1">
      <c r="A2046" s="155"/>
      <c r="B2046" s="156"/>
      <c r="C2046" s="157"/>
      <c r="D2046" s="158"/>
      <c r="E2046" s="159"/>
      <c r="F2046" s="159"/>
      <c r="G2046" s="159"/>
      <c r="H2046" s="159"/>
      <c r="I2046" s="159"/>
      <c r="J2046" s="159"/>
      <c r="K2046" s="159"/>
      <c r="L2046" s="159"/>
      <c r="M2046" s="159"/>
      <c r="N2046" s="159"/>
      <c r="O2046" s="160"/>
    </row>
    <row r="2047" ht="1.5" customHeight="1">
      <c r="A2047" s="161"/>
      <c r="B2047" s="162"/>
      <c r="C2047" s="163"/>
      <c r="D2047" s="164"/>
      <c r="E2047" s="165"/>
      <c r="F2047" s="165"/>
      <c r="G2047" s="165"/>
      <c r="H2047" s="165"/>
      <c r="I2047" s="165"/>
      <c r="J2047" s="165"/>
      <c r="K2047" s="165"/>
      <c r="L2047" s="165"/>
      <c r="M2047" s="165"/>
      <c r="N2047" s="165"/>
      <c r="O2047" s="166"/>
    </row>
    <row r="2048" ht="1.5" customHeight="1">
      <c r="A2048" s="155"/>
      <c r="B2048" s="156"/>
      <c r="C2048" s="157"/>
      <c r="D2048" s="158"/>
      <c r="E2048" s="159"/>
      <c r="F2048" s="159"/>
      <c r="G2048" s="159"/>
      <c r="H2048" s="159"/>
      <c r="I2048" s="159"/>
      <c r="J2048" s="159"/>
      <c r="K2048" s="159"/>
      <c r="L2048" s="159"/>
      <c r="M2048" s="159"/>
      <c r="N2048" s="159"/>
      <c r="O2048" s="160"/>
    </row>
    <row r="2049" ht="1.5" customHeight="1">
      <c r="A2049" s="161"/>
      <c r="B2049" s="162"/>
      <c r="C2049" s="163"/>
      <c r="D2049" s="164"/>
      <c r="E2049" s="165"/>
      <c r="F2049" s="165"/>
      <c r="G2049" s="165"/>
      <c r="H2049" s="165"/>
      <c r="I2049" s="165"/>
      <c r="J2049" s="165"/>
      <c r="K2049" s="165"/>
      <c r="L2049" s="165"/>
      <c r="M2049" s="165"/>
      <c r="N2049" s="165"/>
      <c r="O2049" s="166"/>
    </row>
    <row r="2050" ht="1.5" customHeight="1">
      <c r="A2050" s="155"/>
      <c r="B2050" s="156"/>
      <c r="C2050" s="157"/>
      <c r="D2050" s="158"/>
      <c r="E2050" s="159"/>
      <c r="F2050" s="159"/>
      <c r="G2050" s="159"/>
      <c r="H2050" s="159"/>
      <c r="I2050" s="159"/>
      <c r="J2050" s="159"/>
      <c r="K2050" s="159"/>
      <c r="L2050" s="159"/>
      <c r="M2050" s="159"/>
      <c r="N2050" s="159"/>
      <c r="O2050" s="160"/>
    </row>
    <row r="2051" ht="1.5" customHeight="1">
      <c r="A2051" s="161"/>
      <c r="B2051" s="162"/>
      <c r="C2051" s="163"/>
      <c r="D2051" s="164"/>
      <c r="E2051" s="165"/>
      <c r="F2051" s="165"/>
      <c r="G2051" s="165"/>
      <c r="H2051" s="165"/>
      <c r="I2051" s="165"/>
      <c r="J2051" s="165"/>
      <c r="K2051" s="165"/>
      <c r="L2051" s="165"/>
      <c r="M2051" s="165"/>
      <c r="N2051" s="165"/>
      <c r="O2051" s="166"/>
    </row>
    <row r="2052" ht="1.5" customHeight="1">
      <c r="A2052" s="155"/>
      <c r="B2052" s="156"/>
      <c r="C2052" s="157"/>
      <c r="D2052" s="158"/>
      <c r="E2052" s="159"/>
      <c r="F2052" s="159"/>
      <c r="G2052" s="159"/>
      <c r="H2052" s="159"/>
      <c r="I2052" s="159"/>
      <c r="J2052" s="159"/>
      <c r="K2052" s="159"/>
      <c r="L2052" s="159"/>
      <c r="M2052" s="159"/>
      <c r="N2052" s="159"/>
      <c r="O2052" s="160"/>
    </row>
    <row r="2053" ht="1.5" customHeight="1">
      <c r="A2053" s="161"/>
      <c r="B2053" s="162"/>
      <c r="C2053" s="163"/>
      <c r="D2053" s="164"/>
      <c r="E2053" s="165"/>
      <c r="F2053" s="165"/>
      <c r="G2053" s="165"/>
      <c r="H2053" s="165"/>
      <c r="I2053" s="165"/>
      <c r="J2053" s="165"/>
      <c r="K2053" s="165"/>
      <c r="L2053" s="165"/>
      <c r="M2053" s="165"/>
      <c r="N2053" s="165"/>
      <c r="O2053" s="166"/>
    </row>
    <row r="2054" ht="1.5" customHeight="1">
      <c r="A2054" s="155"/>
      <c r="B2054" s="156"/>
      <c r="C2054" s="157"/>
      <c r="D2054" s="158"/>
      <c r="E2054" s="159"/>
      <c r="F2054" s="159"/>
      <c r="G2054" s="159"/>
      <c r="H2054" s="159"/>
      <c r="I2054" s="159"/>
      <c r="J2054" s="159"/>
      <c r="K2054" s="159"/>
      <c r="L2054" s="159"/>
      <c r="M2054" s="159"/>
      <c r="N2054" s="159"/>
      <c r="O2054" s="160"/>
    </row>
    <row r="2055" ht="1.5" customHeight="1">
      <c r="A2055" s="161"/>
      <c r="B2055" s="162"/>
      <c r="C2055" s="163"/>
      <c r="D2055" s="164"/>
      <c r="E2055" s="165"/>
      <c r="F2055" s="165"/>
      <c r="G2055" s="165"/>
      <c r="H2055" s="165"/>
      <c r="I2055" s="165"/>
      <c r="J2055" s="165"/>
      <c r="K2055" s="165"/>
      <c r="L2055" s="165"/>
      <c r="M2055" s="165"/>
      <c r="N2055" s="165"/>
      <c r="O2055" s="166"/>
    </row>
    <row r="2056" ht="1.5" customHeight="1">
      <c r="A2056" s="155"/>
      <c r="B2056" s="156"/>
      <c r="C2056" s="157"/>
      <c r="D2056" s="158"/>
      <c r="E2056" s="159"/>
      <c r="F2056" s="159"/>
      <c r="G2056" s="159"/>
      <c r="H2056" s="159"/>
      <c r="I2056" s="159"/>
      <c r="J2056" s="159"/>
      <c r="K2056" s="159"/>
      <c r="L2056" s="159"/>
      <c r="M2056" s="159"/>
      <c r="N2056" s="159"/>
      <c r="O2056" s="160"/>
    </row>
    <row r="2057" ht="1.5" customHeight="1">
      <c r="A2057" s="161"/>
      <c r="B2057" s="162"/>
      <c r="C2057" s="163"/>
      <c r="D2057" s="164"/>
      <c r="E2057" s="165"/>
      <c r="F2057" s="165"/>
      <c r="G2057" s="165"/>
      <c r="H2057" s="165"/>
      <c r="I2057" s="165"/>
      <c r="J2057" s="165"/>
      <c r="K2057" s="165"/>
      <c r="L2057" s="165"/>
      <c r="M2057" s="165"/>
      <c r="N2057" s="165"/>
      <c r="O2057" s="166"/>
    </row>
    <row r="2058" ht="1.5" customHeight="1">
      <c r="A2058" s="155"/>
      <c r="B2058" s="156"/>
      <c r="C2058" s="157"/>
      <c r="D2058" s="158"/>
      <c r="E2058" s="159"/>
      <c r="F2058" s="159"/>
      <c r="G2058" s="159"/>
      <c r="H2058" s="159"/>
      <c r="I2058" s="159"/>
      <c r="J2058" s="159"/>
      <c r="K2058" s="159"/>
      <c r="L2058" s="159"/>
      <c r="M2058" s="159"/>
      <c r="N2058" s="159"/>
      <c r="O2058" s="160"/>
    </row>
    <row r="2059" ht="1.5" customHeight="1">
      <c r="A2059" s="161"/>
      <c r="B2059" s="162"/>
      <c r="C2059" s="163"/>
      <c r="D2059" s="164"/>
      <c r="E2059" s="165"/>
      <c r="F2059" s="165"/>
      <c r="G2059" s="165"/>
      <c r="H2059" s="165"/>
      <c r="I2059" s="165"/>
      <c r="J2059" s="165"/>
      <c r="K2059" s="165"/>
      <c r="L2059" s="165"/>
      <c r="M2059" s="165"/>
      <c r="N2059" s="165"/>
      <c r="O2059" s="166"/>
    </row>
    <row r="2060" ht="1.5" customHeight="1">
      <c r="A2060" s="155"/>
      <c r="B2060" s="156"/>
      <c r="C2060" s="157"/>
      <c r="D2060" s="158"/>
      <c r="E2060" s="159"/>
      <c r="F2060" s="159"/>
      <c r="G2060" s="159"/>
      <c r="H2060" s="159"/>
      <c r="I2060" s="159"/>
      <c r="J2060" s="159"/>
      <c r="K2060" s="159"/>
      <c r="L2060" s="159"/>
      <c r="M2060" s="159"/>
      <c r="N2060" s="159"/>
      <c r="O2060" s="160"/>
    </row>
    <row r="2061" ht="1.5" customHeight="1">
      <c r="A2061" s="161"/>
      <c r="B2061" s="162"/>
      <c r="C2061" s="163"/>
      <c r="D2061" s="164"/>
      <c r="E2061" s="165"/>
      <c r="F2061" s="165"/>
      <c r="G2061" s="165"/>
      <c r="H2061" s="165"/>
      <c r="I2061" s="165"/>
      <c r="J2061" s="165"/>
      <c r="K2061" s="165"/>
      <c r="L2061" s="165"/>
      <c r="M2061" s="165"/>
      <c r="N2061" s="165"/>
      <c r="O2061" s="166"/>
    </row>
    <row r="2062" ht="1.5" customHeight="1">
      <c r="A2062" s="155"/>
      <c r="B2062" s="156"/>
      <c r="C2062" s="157"/>
      <c r="D2062" s="158"/>
      <c r="E2062" s="159"/>
      <c r="F2062" s="159"/>
      <c r="G2062" s="159"/>
      <c r="H2062" s="159"/>
      <c r="I2062" s="159"/>
      <c r="J2062" s="159"/>
      <c r="K2062" s="159"/>
      <c r="L2062" s="159"/>
      <c r="M2062" s="159"/>
      <c r="N2062" s="159"/>
      <c r="O2062" s="160"/>
    </row>
    <row r="2063" ht="1.5" customHeight="1">
      <c r="A2063" s="161"/>
      <c r="B2063" s="162"/>
      <c r="C2063" s="163"/>
      <c r="D2063" s="164"/>
      <c r="E2063" s="165"/>
      <c r="F2063" s="165"/>
      <c r="G2063" s="165"/>
      <c r="H2063" s="165"/>
      <c r="I2063" s="165"/>
      <c r="J2063" s="165"/>
      <c r="K2063" s="165"/>
      <c r="L2063" s="165"/>
      <c r="M2063" s="165"/>
      <c r="N2063" s="165"/>
      <c r="O2063" s="166"/>
    </row>
    <row r="2064" ht="1.5" customHeight="1">
      <c r="A2064" s="155"/>
      <c r="B2064" s="156"/>
      <c r="C2064" s="157"/>
      <c r="D2064" s="158"/>
      <c r="E2064" s="159"/>
      <c r="F2064" s="159"/>
      <c r="G2064" s="159"/>
      <c r="H2064" s="159"/>
      <c r="I2064" s="159"/>
      <c r="J2064" s="159"/>
      <c r="K2064" s="159"/>
      <c r="L2064" s="159"/>
      <c r="M2064" s="159"/>
      <c r="N2064" s="159"/>
      <c r="O2064" s="160"/>
    </row>
    <row r="2065" ht="1.5" customHeight="1">
      <c r="A2065" s="161"/>
      <c r="B2065" s="162"/>
      <c r="C2065" s="163"/>
      <c r="D2065" s="164"/>
      <c r="E2065" s="165"/>
      <c r="F2065" s="165"/>
      <c r="G2065" s="165"/>
      <c r="H2065" s="165"/>
      <c r="I2065" s="165"/>
      <c r="J2065" s="165"/>
      <c r="K2065" s="165"/>
      <c r="L2065" s="165"/>
      <c r="M2065" s="165"/>
      <c r="N2065" s="165"/>
      <c r="O2065" s="166"/>
    </row>
    <row r="2066" ht="1.5" customHeight="1">
      <c r="A2066" s="155"/>
      <c r="B2066" s="156"/>
      <c r="C2066" s="157"/>
      <c r="D2066" s="158"/>
      <c r="E2066" s="159"/>
      <c r="F2066" s="159"/>
      <c r="G2066" s="159"/>
      <c r="H2066" s="159"/>
      <c r="I2066" s="159"/>
      <c r="J2066" s="159"/>
      <c r="K2066" s="159"/>
      <c r="L2066" s="159"/>
      <c r="M2066" s="159"/>
      <c r="N2066" s="159"/>
      <c r="O2066" s="160"/>
    </row>
    <row r="2067" ht="1.5" customHeight="1">
      <c r="A2067" s="161"/>
      <c r="B2067" s="162"/>
      <c r="C2067" s="163"/>
      <c r="D2067" s="164"/>
      <c r="E2067" s="165"/>
      <c r="F2067" s="165"/>
      <c r="G2067" s="165"/>
      <c r="H2067" s="165"/>
      <c r="I2067" s="165"/>
      <c r="J2067" s="165"/>
      <c r="K2067" s="165"/>
      <c r="L2067" s="165"/>
      <c r="M2067" s="165"/>
      <c r="N2067" s="165"/>
      <c r="O2067" s="166"/>
    </row>
    <row r="2068" ht="1.5" customHeight="1">
      <c r="A2068" s="155"/>
      <c r="B2068" s="156"/>
      <c r="C2068" s="157"/>
      <c r="D2068" s="158"/>
      <c r="E2068" s="159"/>
      <c r="F2068" s="159"/>
      <c r="G2068" s="159"/>
      <c r="H2068" s="159"/>
      <c r="I2068" s="159"/>
      <c r="J2068" s="159"/>
      <c r="K2068" s="159"/>
      <c r="L2068" s="159"/>
      <c r="M2068" s="159"/>
      <c r="N2068" s="159"/>
      <c r="O2068" s="160"/>
    </row>
    <row r="2069" ht="1.5" customHeight="1">
      <c r="A2069" s="161"/>
      <c r="B2069" s="162"/>
      <c r="C2069" s="163"/>
      <c r="D2069" s="164"/>
      <c r="E2069" s="165"/>
      <c r="F2069" s="165"/>
      <c r="G2069" s="165"/>
      <c r="H2069" s="165"/>
      <c r="I2069" s="165"/>
      <c r="J2069" s="165"/>
      <c r="K2069" s="165"/>
      <c r="L2069" s="165"/>
      <c r="M2069" s="165"/>
      <c r="N2069" s="165"/>
      <c r="O2069" s="166"/>
    </row>
    <row r="2070" ht="1.5" customHeight="1">
      <c r="A2070" s="155"/>
      <c r="B2070" s="156"/>
      <c r="C2070" s="157"/>
      <c r="D2070" s="158"/>
      <c r="E2070" s="159"/>
      <c r="F2070" s="159"/>
      <c r="G2070" s="159"/>
      <c r="H2070" s="159"/>
      <c r="I2070" s="159"/>
      <c r="J2070" s="159"/>
      <c r="K2070" s="159"/>
      <c r="L2070" s="159"/>
      <c r="M2070" s="159"/>
      <c r="N2070" s="159"/>
      <c r="O2070" s="160"/>
    </row>
    <row r="2071" ht="1.5" customHeight="1">
      <c r="A2071" s="161"/>
      <c r="B2071" s="162"/>
      <c r="C2071" s="163"/>
      <c r="D2071" s="164"/>
      <c r="E2071" s="165"/>
      <c r="F2071" s="165"/>
      <c r="G2071" s="165"/>
      <c r="H2071" s="165"/>
      <c r="I2071" s="165"/>
      <c r="J2071" s="165"/>
      <c r="K2071" s="165"/>
      <c r="L2071" s="165"/>
      <c r="M2071" s="165"/>
      <c r="N2071" s="165"/>
      <c r="O2071" s="166"/>
    </row>
    <row r="2072" ht="1.5" customHeight="1">
      <c r="A2072" s="155"/>
      <c r="B2072" s="156"/>
      <c r="C2072" s="157"/>
      <c r="D2072" s="158"/>
      <c r="E2072" s="159"/>
      <c r="F2072" s="159"/>
      <c r="G2072" s="159"/>
      <c r="H2072" s="159"/>
      <c r="I2072" s="159"/>
      <c r="J2072" s="159"/>
      <c r="K2072" s="159"/>
      <c r="L2072" s="159"/>
      <c r="M2072" s="159"/>
      <c r="N2072" s="159"/>
      <c r="O2072" s="160"/>
    </row>
    <row r="2073" ht="1.5" customHeight="1">
      <c r="A2073" s="161"/>
      <c r="B2073" s="162"/>
      <c r="C2073" s="163"/>
      <c r="D2073" s="164"/>
      <c r="E2073" s="165"/>
      <c r="F2073" s="165"/>
      <c r="G2073" s="165"/>
      <c r="H2073" s="165"/>
      <c r="I2073" s="165"/>
      <c r="J2073" s="165"/>
      <c r="K2073" s="165"/>
      <c r="L2073" s="165"/>
      <c r="M2073" s="165"/>
      <c r="N2073" s="165"/>
      <c r="O2073" s="166"/>
    </row>
    <row r="2074" ht="1.5" customHeight="1">
      <c r="A2074" s="155"/>
      <c r="B2074" s="156"/>
      <c r="C2074" s="157"/>
      <c r="D2074" s="158"/>
      <c r="E2074" s="159"/>
      <c r="F2074" s="159"/>
      <c r="G2074" s="159"/>
      <c r="H2074" s="159"/>
      <c r="I2074" s="159"/>
      <c r="J2074" s="159"/>
      <c r="K2074" s="159"/>
      <c r="L2074" s="159"/>
      <c r="M2074" s="159"/>
      <c r="N2074" s="159"/>
      <c r="O2074" s="160"/>
    </row>
    <row r="2075" ht="1.5" customHeight="1">
      <c r="A2075" s="161"/>
      <c r="B2075" s="162"/>
      <c r="C2075" s="163"/>
      <c r="D2075" s="164"/>
      <c r="E2075" s="165"/>
      <c r="F2075" s="165"/>
      <c r="G2075" s="165"/>
      <c r="H2075" s="165"/>
      <c r="I2075" s="165"/>
      <c r="J2075" s="165"/>
      <c r="K2075" s="165"/>
      <c r="L2075" s="165"/>
      <c r="M2075" s="165"/>
      <c r="N2075" s="165"/>
      <c r="O2075" s="166"/>
    </row>
    <row r="2076" ht="1.5" customHeight="1">
      <c r="A2076" s="155"/>
      <c r="B2076" s="156"/>
      <c r="C2076" s="157"/>
      <c r="D2076" s="158"/>
      <c r="E2076" s="159"/>
      <c r="F2076" s="159"/>
      <c r="G2076" s="159"/>
      <c r="H2076" s="159"/>
      <c r="I2076" s="159"/>
      <c r="J2076" s="159"/>
      <c r="K2076" s="159"/>
      <c r="L2076" s="159"/>
      <c r="M2076" s="159"/>
      <c r="N2076" s="159"/>
      <c r="O2076" s="160"/>
    </row>
    <row r="2077" ht="1.5" customHeight="1">
      <c r="A2077" s="161"/>
      <c r="B2077" s="162"/>
      <c r="C2077" s="163"/>
      <c r="D2077" s="164"/>
      <c r="E2077" s="165"/>
      <c r="F2077" s="165"/>
      <c r="G2077" s="165"/>
      <c r="H2077" s="165"/>
      <c r="I2077" s="165"/>
      <c r="J2077" s="165"/>
      <c r="K2077" s="165"/>
      <c r="L2077" s="165"/>
      <c r="M2077" s="165"/>
      <c r="N2077" s="165"/>
      <c r="O2077" s="166"/>
    </row>
    <row r="2078" ht="1.5" customHeight="1">
      <c r="A2078" s="155"/>
      <c r="B2078" s="156"/>
      <c r="C2078" s="157"/>
      <c r="D2078" s="158"/>
      <c r="E2078" s="159"/>
      <c r="F2078" s="159"/>
      <c r="G2078" s="159"/>
      <c r="H2078" s="159"/>
      <c r="I2078" s="159"/>
      <c r="J2078" s="159"/>
      <c r="K2078" s="159"/>
      <c r="L2078" s="159"/>
      <c r="M2078" s="159"/>
      <c r="N2078" s="159"/>
      <c r="O2078" s="160"/>
    </row>
    <row r="2079" ht="1.5" customHeight="1">
      <c r="A2079" s="161"/>
      <c r="B2079" s="162"/>
      <c r="C2079" s="163"/>
      <c r="D2079" s="164"/>
      <c r="E2079" s="165"/>
      <c r="F2079" s="165"/>
      <c r="G2079" s="165"/>
      <c r="H2079" s="165"/>
      <c r="I2079" s="165"/>
      <c r="J2079" s="165"/>
      <c r="K2079" s="165"/>
      <c r="L2079" s="165"/>
      <c r="M2079" s="165"/>
      <c r="N2079" s="165"/>
      <c r="O2079" s="166"/>
    </row>
    <row r="2080" ht="1.5" customHeight="1">
      <c r="A2080" s="155"/>
      <c r="B2080" s="156"/>
      <c r="C2080" s="157"/>
      <c r="D2080" s="158"/>
      <c r="E2080" s="159"/>
      <c r="F2080" s="159"/>
      <c r="G2080" s="159"/>
      <c r="H2080" s="159"/>
      <c r="I2080" s="159"/>
      <c r="J2080" s="159"/>
      <c r="K2080" s="159"/>
      <c r="L2080" s="159"/>
      <c r="M2080" s="159"/>
      <c r="N2080" s="159"/>
      <c r="O2080" s="160"/>
    </row>
    <row r="2081" ht="1.5" customHeight="1">
      <c r="A2081" s="161"/>
      <c r="B2081" s="162"/>
      <c r="C2081" s="163"/>
      <c r="D2081" s="164"/>
      <c r="E2081" s="165"/>
      <c r="F2081" s="165"/>
      <c r="G2081" s="165"/>
      <c r="H2081" s="165"/>
      <c r="I2081" s="165"/>
      <c r="J2081" s="165"/>
      <c r="K2081" s="165"/>
      <c r="L2081" s="165"/>
      <c r="M2081" s="165"/>
      <c r="N2081" s="165"/>
      <c r="O2081" s="166"/>
    </row>
    <row r="2082" ht="1.5" customHeight="1">
      <c r="A2082" s="155"/>
      <c r="B2082" s="156"/>
      <c r="C2082" s="157"/>
      <c r="D2082" s="158"/>
      <c r="E2082" s="159"/>
      <c r="F2082" s="159"/>
      <c r="G2082" s="159"/>
      <c r="H2082" s="159"/>
      <c r="I2082" s="159"/>
      <c r="J2082" s="159"/>
      <c r="K2082" s="159"/>
      <c r="L2082" s="159"/>
      <c r="M2082" s="159"/>
      <c r="N2082" s="159"/>
      <c r="O2082" s="160"/>
    </row>
    <row r="2083" ht="1.5" customHeight="1">
      <c r="A2083" s="161"/>
      <c r="B2083" s="162"/>
      <c r="C2083" s="163"/>
      <c r="D2083" s="164"/>
      <c r="E2083" s="165"/>
      <c r="F2083" s="165"/>
      <c r="G2083" s="165"/>
      <c r="H2083" s="165"/>
      <c r="I2083" s="165"/>
      <c r="J2083" s="165"/>
      <c r="K2083" s="165"/>
      <c r="L2083" s="165"/>
      <c r="M2083" s="165"/>
      <c r="N2083" s="165"/>
      <c r="O2083" s="166"/>
    </row>
    <row r="2084" ht="1.5" customHeight="1">
      <c r="A2084" s="155"/>
      <c r="B2084" s="156"/>
      <c r="C2084" s="157"/>
      <c r="D2084" s="158"/>
      <c r="E2084" s="159"/>
      <c r="F2084" s="159"/>
      <c r="G2084" s="159"/>
      <c r="H2084" s="159"/>
      <c r="I2084" s="159"/>
      <c r="J2084" s="159"/>
      <c r="K2084" s="159"/>
      <c r="L2084" s="159"/>
      <c r="M2084" s="159"/>
      <c r="N2084" s="159"/>
      <c r="O2084" s="160"/>
    </row>
    <row r="2085" ht="1.5" customHeight="1">
      <c r="A2085" s="161"/>
      <c r="B2085" s="162"/>
      <c r="C2085" s="163"/>
      <c r="D2085" s="164"/>
      <c r="E2085" s="165"/>
      <c r="F2085" s="165"/>
      <c r="G2085" s="165"/>
      <c r="H2085" s="165"/>
      <c r="I2085" s="165"/>
      <c r="J2085" s="165"/>
      <c r="K2085" s="165"/>
      <c r="L2085" s="165"/>
      <c r="M2085" s="165"/>
      <c r="N2085" s="165"/>
      <c r="O2085" s="166"/>
    </row>
    <row r="2086" ht="1.5" customHeight="1">
      <c r="A2086" s="155"/>
      <c r="B2086" s="156"/>
      <c r="C2086" s="157"/>
      <c r="D2086" s="158"/>
      <c r="E2086" s="159"/>
      <c r="F2086" s="159"/>
      <c r="G2086" s="159"/>
      <c r="H2086" s="159"/>
      <c r="I2086" s="159"/>
      <c r="J2086" s="159"/>
      <c r="K2086" s="159"/>
      <c r="L2086" s="159"/>
      <c r="M2086" s="159"/>
      <c r="N2086" s="159"/>
      <c r="O2086" s="160"/>
    </row>
    <row r="2087" ht="1.5" customHeight="1">
      <c r="A2087" s="161"/>
      <c r="B2087" s="162"/>
      <c r="C2087" s="163"/>
      <c r="D2087" s="164"/>
      <c r="E2087" s="165"/>
      <c r="F2087" s="165"/>
      <c r="G2087" s="165"/>
      <c r="H2087" s="165"/>
      <c r="I2087" s="165"/>
      <c r="J2087" s="165"/>
      <c r="K2087" s="165"/>
      <c r="L2087" s="165"/>
      <c r="M2087" s="165"/>
      <c r="N2087" s="165"/>
      <c r="O2087" s="166"/>
    </row>
    <row r="2088" ht="1.5" customHeight="1">
      <c r="A2088" s="155"/>
      <c r="B2088" s="156"/>
      <c r="C2088" s="157"/>
      <c r="D2088" s="158"/>
      <c r="E2088" s="159"/>
      <c r="F2088" s="159"/>
      <c r="G2088" s="159"/>
      <c r="H2088" s="159"/>
      <c r="I2088" s="159"/>
      <c r="J2088" s="159"/>
      <c r="K2088" s="159"/>
      <c r="L2088" s="159"/>
      <c r="M2088" s="159"/>
      <c r="N2088" s="159"/>
      <c r="O2088" s="160"/>
    </row>
    <row r="2089" ht="1.5" customHeight="1">
      <c r="A2089" s="161"/>
      <c r="B2089" s="162"/>
      <c r="C2089" s="163"/>
      <c r="D2089" s="164"/>
      <c r="E2089" s="165"/>
      <c r="F2089" s="165"/>
      <c r="G2089" s="165"/>
      <c r="H2089" s="165"/>
      <c r="I2089" s="165"/>
      <c r="J2089" s="165"/>
      <c r="K2089" s="165"/>
      <c r="L2089" s="165"/>
      <c r="M2089" s="165"/>
      <c r="N2089" s="165"/>
      <c r="O2089" s="166"/>
    </row>
    <row r="2090" ht="1.5" customHeight="1">
      <c r="A2090" s="155"/>
      <c r="B2090" s="156"/>
      <c r="C2090" s="157"/>
      <c r="D2090" s="158"/>
      <c r="E2090" s="159"/>
      <c r="F2090" s="159"/>
      <c r="G2090" s="159"/>
      <c r="H2090" s="159"/>
      <c r="I2090" s="159"/>
      <c r="J2090" s="159"/>
      <c r="K2090" s="159"/>
      <c r="L2090" s="159"/>
      <c r="M2090" s="159"/>
      <c r="N2090" s="159"/>
      <c r="O2090" s="160"/>
    </row>
    <row r="2091" ht="1.5" customHeight="1">
      <c r="A2091" s="161"/>
      <c r="B2091" s="162"/>
      <c r="C2091" s="163"/>
      <c r="D2091" s="164"/>
      <c r="E2091" s="165"/>
      <c r="F2091" s="165"/>
      <c r="G2091" s="165"/>
      <c r="H2091" s="165"/>
      <c r="I2091" s="165"/>
      <c r="J2091" s="165"/>
      <c r="K2091" s="165"/>
      <c r="L2091" s="165"/>
      <c r="M2091" s="165"/>
      <c r="N2091" s="165"/>
      <c r="O2091" s="166"/>
    </row>
    <row r="2092" ht="1.5" customHeight="1">
      <c r="A2092" s="155"/>
      <c r="B2092" s="156"/>
      <c r="C2092" s="157"/>
      <c r="D2092" s="158"/>
      <c r="E2092" s="159"/>
      <c r="F2092" s="159"/>
      <c r="G2092" s="159"/>
      <c r="H2092" s="159"/>
      <c r="I2092" s="159"/>
      <c r="J2092" s="159"/>
      <c r="K2092" s="159"/>
      <c r="L2092" s="159"/>
      <c r="M2092" s="159"/>
      <c r="N2092" s="159"/>
      <c r="O2092" s="160"/>
    </row>
    <row r="2093" ht="1.5" customHeight="1">
      <c r="A2093" s="161"/>
      <c r="B2093" s="162"/>
      <c r="C2093" s="163"/>
      <c r="D2093" s="164"/>
      <c r="E2093" s="165"/>
      <c r="F2093" s="165"/>
      <c r="G2093" s="165"/>
      <c r="H2093" s="165"/>
      <c r="I2093" s="165"/>
      <c r="J2093" s="165"/>
      <c r="K2093" s="165"/>
      <c r="L2093" s="165"/>
      <c r="M2093" s="165"/>
      <c r="N2093" s="165"/>
      <c r="O2093" s="166"/>
    </row>
    <row r="2094" ht="1.5" customHeight="1">
      <c r="A2094" s="155"/>
      <c r="B2094" s="156"/>
      <c r="C2094" s="157"/>
      <c r="D2094" s="158"/>
      <c r="E2094" s="159"/>
      <c r="F2094" s="159"/>
      <c r="G2094" s="159"/>
      <c r="H2094" s="159"/>
      <c r="I2094" s="159"/>
      <c r="J2094" s="159"/>
      <c r="K2094" s="159"/>
      <c r="L2094" s="159"/>
      <c r="M2094" s="159"/>
      <c r="N2094" s="159"/>
      <c r="O2094" s="160"/>
    </row>
    <row r="2095" ht="1.5" customHeight="1">
      <c r="A2095" s="161"/>
      <c r="B2095" s="162"/>
      <c r="C2095" s="163"/>
      <c r="D2095" s="164"/>
      <c r="E2095" s="165"/>
      <c r="F2095" s="165"/>
      <c r="G2095" s="165"/>
      <c r="H2095" s="165"/>
      <c r="I2095" s="165"/>
      <c r="J2095" s="165"/>
      <c r="K2095" s="165"/>
      <c r="L2095" s="165"/>
      <c r="M2095" s="165"/>
      <c r="N2095" s="165"/>
      <c r="O2095" s="166"/>
    </row>
    <row r="2096" ht="1.5" customHeight="1">
      <c r="A2096" s="155"/>
      <c r="B2096" s="156"/>
      <c r="C2096" s="157"/>
      <c r="D2096" s="158"/>
      <c r="E2096" s="159"/>
      <c r="F2096" s="159"/>
      <c r="G2096" s="159"/>
      <c r="H2096" s="159"/>
      <c r="I2096" s="159"/>
      <c r="J2096" s="159"/>
      <c r="K2096" s="159"/>
      <c r="L2096" s="159"/>
      <c r="M2096" s="159"/>
      <c r="N2096" s="159"/>
      <c r="O2096" s="160"/>
    </row>
    <row r="2097" ht="1.5" customHeight="1">
      <c r="A2097" s="161"/>
      <c r="B2097" s="162"/>
      <c r="C2097" s="163"/>
      <c r="D2097" s="164"/>
      <c r="E2097" s="165"/>
      <c r="F2097" s="165"/>
      <c r="G2097" s="165"/>
      <c r="H2097" s="165"/>
      <c r="I2097" s="165"/>
      <c r="J2097" s="165"/>
      <c r="K2097" s="165"/>
      <c r="L2097" s="165"/>
      <c r="M2097" s="165"/>
      <c r="N2097" s="165"/>
      <c r="O2097" s="166"/>
    </row>
    <row r="2098" ht="1.5" customHeight="1">
      <c r="A2098" s="155"/>
      <c r="B2098" s="156"/>
      <c r="C2098" s="157"/>
      <c r="D2098" s="158"/>
      <c r="E2098" s="159"/>
      <c r="F2098" s="159"/>
      <c r="G2098" s="159"/>
      <c r="H2098" s="159"/>
      <c r="I2098" s="159"/>
      <c r="J2098" s="159"/>
      <c r="K2098" s="159"/>
      <c r="L2098" s="159"/>
      <c r="M2098" s="159"/>
      <c r="N2098" s="159"/>
      <c r="O2098" s="160"/>
    </row>
    <row r="2099" ht="1.5" customHeight="1">
      <c r="A2099" s="161"/>
      <c r="B2099" s="162"/>
      <c r="C2099" s="163"/>
      <c r="D2099" s="164"/>
      <c r="E2099" s="165"/>
      <c r="F2099" s="165"/>
      <c r="G2099" s="165"/>
      <c r="H2099" s="165"/>
      <c r="I2099" s="165"/>
      <c r="J2099" s="165"/>
      <c r="K2099" s="165"/>
      <c r="L2099" s="165"/>
      <c r="M2099" s="165"/>
      <c r="N2099" s="165"/>
      <c r="O2099" s="166"/>
    </row>
    <row r="2100" ht="1.5" customHeight="1">
      <c r="A2100" s="155"/>
      <c r="B2100" s="156"/>
      <c r="C2100" s="157"/>
      <c r="D2100" s="158"/>
      <c r="E2100" s="159"/>
      <c r="F2100" s="159"/>
      <c r="G2100" s="159"/>
      <c r="H2100" s="159"/>
      <c r="I2100" s="159"/>
      <c r="J2100" s="159"/>
      <c r="K2100" s="159"/>
      <c r="L2100" s="159"/>
      <c r="M2100" s="159"/>
      <c r="N2100" s="159"/>
      <c r="O2100" s="160"/>
    </row>
    <row r="2101" ht="1.5" customHeight="1">
      <c r="A2101" s="161"/>
      <c r="B2101" s="162"/>
      <c r="C2101" s="163"/>
      <c r="D2101" s="164"/>
      <c r="E2101" s="165"/>
      <c r="F2101" s="165"/>
      <c r="G2101" s="165"/>
      <c r="H2101" s="165"/>
      <c r="I2101" s="165"/>
      <c r="J2101" s="165"/>
      <c r="K2101" s="165"/>
      <c r="L2101" s="165"/>
      <c r="M2101" s="165"/>
      <c r="N2101" s="165"/>
      <c r="O2101" s="166"/>
    </row>
    <row r="2102" ht="1.5" customHeight="1">
      <c r="A2102" s="155"/>
      <c r="B2102" s="156"/>
      <c r="C2102" s="157"/>
      <c r="D2102" s="158"/>
      <c r="E2102" s="159"/>
      <c r="F2102" s="159"/>
      <c r="G2102" s="159"/>
      <c r="H2102" s="159"/>
      <c r="I2102" s="159"/>
      <c r="J2102" s="159"/>
      <c r="K2102" s="159"/>
      <c r="L2102" s="159"/>
      <c r="M2102" s="159"/>
      <c r="N2102" s="159"/>
      <c r="O2102" s="160"/>
    </row>
    <row r="2103" ht="1.5" customHeight="1">
      <c r="A2103" s="161"/>
      <c r="B2103" s="162"/>
      <c r="C2103" s="163"/>
      <c r="D2103" s="164"/>
      <c r="E2103" s="165"/>
      <c r="F2103" s="165"/>
      <c r="G2103" s="165"/>
      <c r="H2103" s="165"/>
      <c r="I2103" s="165"/>
      <c r="J2103" s="165"/>
      <c r="K2103" s="165"/>
      <c r="L2103" s="165"/>
      <c r="M2103" s="165"/>
      <c r="N2103" s="165"/>
      <c r="O2103" s="166"/>
    </row>
    <row r="2104" ht="1.5" customHeight="1">
      <c r="A2104" s="155"/>
      <c r="B2104" s="156"/>
      <c r="C2104" s="157"/>
      <c r="D2104" s="158"/>
      <c r="E2104" s="159"/>
      <c r="F2104" s="159"/>
      <c r="G2104" s="159"/>
      <c r="H2104" s="159"/>
      <c r="I2104" s="159"/>
      <c r="J2104" s="159"/>
      <c r="K2104" s="159"/>
      <c r="L2104" s="159"/>
      <c r="M2104" s="159"/>
      <c r="N2104" s="159"/>
      <c r="O2104" s="160"/>
    </row>
    <row r="2105" ht="1.5" customHeight="1">
      <c r="A2105" s="161"/>
      <c r="B2105" s="162"/>
      <c r="C2105" s="163"/>
      <c r="D2105" s="164"/>
      <c r="E2105" s="165"/>
      <c r="F2105" s="165"/>
      <c r="G2105" s="165"/>
      <c r="H2105" s="165"/>
      <c r="I2105" s="165"/>
      <c r="J2105" s="165"/>
      <c r="K2105" s="165"/>
      <c r="L2105" s="165"/>
      <c r="M2105" s="165"/>
      <c r="N2105" s="165"/>
      <c r="O2105" s="166"/>
    </row>
    <row r="2106" ht="1.5" customHeight="1">
      <c r="A2106" s="155"/>
      <c r="B2106" s="156"/>
      <c r="C2106" s="157"/>
      <c r="D2106" s="158"/>
      <c r="E2106" s="159"/>
      <c r="F2106" s="159"/>
      <c r="G2106" s="159"/>
      <c r="H2106" s="159"/>
      <c r="I2106" s="159"/>
      <c r="J2106" s="159"/>
      <c r="K2106" s="159"/>
      <c r="L2106" s="159"/>
      <c r="M2106" s="159"/>
      <c r="N2106" s="159"/>
      <c r="O2106" s="160"/>
    </row>
    <row r="2107" ht="1.5" customHeight="1">
      <c r="A2107" s="161"/>
      <c r="B2107" s="162"/>
      <c r="C2107" s="163"/>
      <c r="D2107" s="164"/>
      <c r="E2107" s="165"/>
      <c r="F2107" s="165"/>
      <c r="G2107" s="165"/>
      <c r="H2107" s="165"/>
      <c r="I2107" s="165"/>
      <c r="J2107" s="165"/>
      <c r="K2107" s="165"/>
      <c r="L2107" s="165"/>
      <c r="M2107" s="165"/>
      <c r="N2107" s="165"/>
      <c r="O2107" s="166"/>
    </row>
    <row r="2108" ht="1.5" customHeight="1">
      <c r="A2108" s="155"/>
      <c r="B2108" s="156"/>
      <c r="C2108" s="157"/>
      <c r="D2108" s="158"/>
      <c r="E2108" s="159"/>
      <c r="F2108" s="159"/>
      <c r="G2108" s="159"/>
      <c r="H2108" s="159"/>
      <c r="I2108" s="159"/>
      <c r="J2108" s="159"/>
      <c r="K2108" s="159"/>
      <c r="L2108" s="159"/>
      <c r="M2108" s="159"/>
      <c r="N2108" s="159"/>
      <c r="O2108" s="160"/>
    </row>
    <row r="2109" ht="1.5" customHeight="1">
      <c r="A2109" s="161"/>
      <c r="B2109" s="162"/>
      <c r="C2109" s="163"/>
      <c r="D2109" s="164"/>
      <c r="E2109" s="165"/>
      <c r="F2109" s="165"/>
      <c r="G2109" s="165"/>
      <c r="H2109" s="165"/>
      <c r="I2109" s="165"/>
      <c r="J2109" s="165"/>
      <c r="K2109" s="165"/>
      <c r="L2109" s="165"/>
      <c r="M2109" s="165"/>
      <c r="N2109" s="165"/>
      <c r="O2109" s="166"/>
    </row>
    <row r="2110" ht="1.5" customHeight="1">
      <c r="A2110" s="155"/>
      <c r="B2110" s="156"/>
      <c r="C2110" s="157"/>
      <c r="D2110" s="158"/>
      <c r="E2110" s="159"/>
      <c r="F2110" s="159"/>
      <c r="G2110" s="159"/>
      <c r="H2110" s="159"/>
      <c r="I2110" s="159"/>
      <c r="J2110" s="159"/>
      <c r="K2110" s="159"/>
      <c r="L2110" s="159"/>
      <c r="M2110" s="159"/>
      <c r="N2110" s="159"/>
      <c r="O2110" s="160"/>
    </row>
    <row r="2111" ht="1.5" customHeight="1">
      <c r="A2111" s="161"/>
      <c r="B2111" s="162"/>
      <c r="C2111" s="163"/>
      <c r="D2111" s="164"/>
      <c r="E2111" s="165"/>
      <c r="F2111" s="165"/>
      <c r="G2111" s="165"/>
      <c r="H2111" s="165"/>
      <c r="I2111" s="165"/>
      <c r="J2111" s="165"/>
      <c r="K2111" s="165"/>
      <c r="L2111" s="165"/>
      <c r="M2111" s="165"/>
      <c r="N2111" s="165"/>
      <c r="O2111" s="166"/>
    </row>
    <row r="2112" ht="1.5" customHeight="1">
      <c r="A2112" s="155"/>
      <c r="B2112" s="156"/>
      <c r="C2112" s="157"/>
      <c r="D2112" s="158"/>
      <c r="E2112" s="159"/>
      <c r="F2112" s="159"/>
      <c r="G2112" s="159"/>
      <c r="H2112" s="159"/>
      <c r="I2112" s="159"/>
      <c r="J2112" s="159"/>
      <c r="K2112" s="159"/>
      <c r="L2112" s="159"/>
      <c r="M2112" s="159"/>
      <c r="N2112" s="159"/>
      <c r="O2112" s="160"/>
    </row>
    <row r="2113" ht="1.5" customHeight="1">
      <c r="A2113" s="161"/>
      <c r="B2113" s="162"/>
      <c r="C2113" s="163"/>
      <c r="D2113" s="164"/>
      <c r="E2113" s="165"/>
      <c r="F2113" s="165"/>
      <c r="G2113" s="165"/>
      <c r="H2113" s="165"/>
      <c r="I2113" s="165"/>
      <c r="J2113" s="165"/>
      <c r="K2113" s="165"/>
      <c r="L2113" s="165"/>
      <c r="M2113" s="165"/>
      <c r="N2113" s="165"/>
      <c r="O2113" s="166"/>
    </row>
    <row r="2114" ht="1.5" customHeight="1">
      <c r="A2114" s="155"/>
      <c r="B2114" s="156"/>
      <c r="C2114" s="157"/>
      <c r="D2114" s="158"/>
      <c r="E2114" s="159"/>
      <c r="F2114" s="159"/>
      <c r="G2114" s="159"/>
      <c r="H2114" s="159"/>
      <c r="I2114" s="159"/>
      <c r="J2114" s="159"/>
      <c r="K2114" s="159"/>
      <c r="L2114" s="159"/>
      <c r="M2114" s="159"/>
      <c r="N2114" s="159"/>
      <c r="O2114" s="160"/>
    </row>
    <row r="2115" ht="1.5" customHeight="1">
      <c r="A2115" s="161"/>
      <c r="B2115" s="162"/>
      <c r="C2115" s="163"/>
      <c r="D2115" s="164"/>
      <c r="E2115" s="165"/>
      <c r="F2115" s="165"/>
      <c r="G2115" s="165"/>
      <c r="H2115" s="165"/>
      <c r="I2115" s="165"/>
      <c r="J2115" s="165"/>
      <c r="K2115" s="165"/>
      <c r="L2115" s="165"/>
      <c r="M2115" s="165"/>
      <c r="N2115" s="165"/>
      <c r="O2115" s="166"/>
    </row>
    <row r="2116" ht="1.5" customHeight="1">
      <c r="A2116" s="155"/>
      <c r="B2116" s="156"/>
      <c r="C2116" s="157"/>
      <c r="D2116" s="158"/>
      <c r="E2116" s="159"/>
      <c r="F2116" s="159"/>
      <c r="G2116" s="159"/>
      <c r="H2116" s="159"/>
      <c r="I2116" s="159"/>
      <c r="J2116" s="159"/>
      <c r="K2116" s="159"/>
      <c r="L2116" s="159"/>
      <c r="M2116" s="159"/>
      <c r="N2116" s="159"/>
      <c r="O2116" s="160"/>
    </row>
    <row r="2117" ht="1.5" customHeight="1">
      <c r="A2117" s="161"/>
      <c r="B2117" s="162"/>
      <c r="C2117" s="163"/>
      <c r="D2117" s="164"/>
      <c r="E2117" s="165"/>
      <c r="F2117" s="165"/>
      <c r="G2117" s="165"/>
      <c r="H2117" s="165"/>
      <c r="I2117" s="165"/>
      <c r="J2117" s="165"/>
      <c r="K2117" s="165"/>
      <c r="L2117" s="165"/>
      <c r="M2117" s="165"/>
      <c r="N2117" s="165"/>
      <c r="O2117" s="166"/>
    </row>
    <row r="2118" ht="1.5" customHeight="1">
      <c r="A2118" s="155"/>
      <c r="B2118" s="156"/>
      <c r="C2118" s="157"/>
      <c r="D2118" s="158"/>
      <c r="E2118" s="159"/>
      <c r="F2118" s="159"/>
      <c r="G2118" s="159"/>
      <c r="H2118" s="159"/>
      <c r="I2118" s="159"/>
      <c r="J2118" s="159"/>
      <c r="K2118" s="159"/>
      <c r="L2118" s="159"/>
      <c r="M2118" s="159"/>
      <c r="N2118" s="159"/>
      <c r="O2118" s="160"/>
    </row>
    <row r="2119" ht="1.5" customHeight="1">
      <c r="A2119" s="161"/>
      <c r="B2119" s="162"/>
      <c r="C2119" s="163"/>
      <c r="D2119" s="164"/>
      <c r="E2119" s="165"/>
      <c r="F2119" s="165"/>
      <c r="G2119" s="165"/>
      <c r="H2119" s="165"/>
      <c r="I2119" s="165"/>
      <c r="J2119" s="165"/>
      <c r="K2119" s="165"/>
      <c r="L2119" s="165"/>
      <c r="M2119" s="165"/>
      <c r="N2119" s="165"/>
      <c r="O2119" s="166"/>
    </row>
    <row r="2120" ht="1.5" customHeight="1">
      <c r="A2120" s="155"/>
      <c r="B2120" s="156"/>
      <c r="C2120" s="157"/>
      <c r="D2120" s="158"/>
      <c r="E2120" s="159"/>
      <c r="F2120" s="159"/>
      <c r="G2120" s="159"/>
      <c r="H2120" s="159"/>
      <c r="I2120" s="159"/>
      <c r="J2120" s="159"/>
      <c r="K2120" s="159"/>
      <c r="L2120" s="159"/>
      <c r="M2120" s="159"/>
      <c r="N2120" s="159"/>
      <c r="O2120" s="160"/>
    </row>
    <row r="2121" ht="1.5" customHeight="1">
      <c r="A2121" s="161"/>
      <c r="B2121" s="162"/>
      <c r="C2121" s="163"/>
      <c r="D2121" s="164"/>
      <c r="E2121" s="165"/>
      <c r="F2121" s="165"/>
      <c r="G2121" s="165"/>
      <c r="H2121" s="165"/>
      <c r="I2121" s="165"/>
      <c r="J2121" s="165"/>
      <c r="K2121" s="165"/>
      <c r="L2121" s="165"/>
      <c r="M2121" s="165"/>
      <c r="N2121" s="165"/>
      <c r="O2121" s="166"/>
    </row>
    <row r="2122" ht="1.5" customHeight="1">
      <c r="A2122" s="155"/>
      <c r="B2122" s="156"/>
      <c r="C2122" s="157"/>
      <c r="D2122" s="158"/>
      <c r="E2122" s="159"/>
      <c r="F2122" s="159"/>
      <c r="G2122" s="159"/>
      <c r="H2122" s="159"/>
      <c r="I2122" s="159"/>
      <c r="J2122" s="159"/>
      <c r="K2122" s="159"/>
      <c r="L2122" s="159"/>
      <c r="M2122" s="159"/>
      <c r="N2122" s="159"/>
      <c r="O2122" s="160"/>
    </row>
    <row r="2123" ht="1.5" customHeight="1">
      <c r="A2123" s="161"/>
      <c r="B2123" s="162"/>
      <c r="C2123" s="163"/>
      <c r="D2123" s="164"/>
      <c r="E2123" s="165"/>
      <c r="F2123" s="165"/>
      <c r="G2123" s="165"/>
      <c r="H2123" s="165"/>
      <c r="I2123" s="165"/>
      <c r="J2123" s="165"/>
      <c r="K2123" s="165"/>
      <c r="L2123" s="165"/>
      <c r="M2123" s="165"/>
      <c r="N2123" s="165"/>
      <c r="O2123" s="166"/>
    </row>
    <row r="2124" ht="1.5" customHeight="1">
      <c r="A2124" s="155"/>
      <c r="B2124" s="156"/>
      <c r="C2124" s="157"/>
      <c r="D2124" s="158"/>
      <c r="E2124" s="159"/>
      <c r="F2124" s="159"/>
      <c r="G2124" s="159"/>
      <c r="H2124" s="159"/>
      <c r="I2124" s="159"/>
      <c r="J2124" s="159"/>
      <c r="K2124" s="159"/>
      <c r="L2124" s="159"/>
      <c r="M2124" s="159"/>
      <c r="N2124" s="159"/>
      <c r="O2124" s="160"/>
    </row>
    <row r="2125" ht="1.5" customHeight="1">
      <c r="A2125" s="161"/>
      <c r="B2125" s="162"/>
      <c r="C2125" s="163"/>
      <c r="D2125" s="164"/>
      <c r="E2125" s="165"/>
      <c r="F2125" s="165"/>
      <c r="G2125" s="165"/>
      <c r="H2125" s="165"/>
      <c r="I2125" s="165"/>
      <c r="J2125" s="165"/>
      <c r="K2125" s="165"/>
      <c r="L2125" s="165"/>
      <c r="M2125" s="165"/>
      <c r="N2125" s="165"/>
      <c r="O2125" s="166"/>
    </row>
    <row r="2126" ht="1.5" customHeight="1">
      <c r="A2126" s="155"/>
      <c r="B2126" s="156"/>
      <c r="C2126" s="157"/>
      <c r="D2126" s="158"/>
      <c r="E2126" s="159"/>
      <c r="F2126" s="159"/>
      <c r="G2126" s="159"/>
      <c r="H2126" s="159"/>
      <c r="I2126" s="159"/>
      <c r="J2126" s="159"/>
      <c r="K2126" s="159"/>
      <c r="L2126" s="159"/>
      <c r="M2126" s="159"/>
      <c r="N2126" s="159"/>
      <c r="O2126" s="160"/>
    </row>
    <row r="2127" ht="1.5" customHeight="1">
      <c r="A2127" s="161"/>
      <c r="B2127" s="162"/>
      <c r="C2127" s="163"/>
      <c r="D2127" s="164"/>
      <c r="E2127" s="165"/>
      <c r="F2127" s="165"/>
      <c r="G2127" s="165"/>
      <c r="H2127" s="165"/>
      <c r="I2127" s="165"/>
      <c r="J2127" s="165"/>
      <c r="K2127" s="165"/>
      <c r="L2127" s="165"/>
      <c r="M2127" s="165"/>
      <c r="N2127" s="165"/>
      <c r="O2127" s="166"/>
    </row>
    <row r="2128" ht="1.5" customHeight="1">
      <c r="A2128" s="155"/>
      <c r="B2128" s="156"/>
      <c r="C2128" s="157"/>
      <c r="D2128" s="158"/>
      <c r="E2128" s="159"/>
      <c r="F2128" s="159"/>
      <c r="G2128" s="159"/>
      <c r="H2128" s="159"/>
      <c r="I2128" s="159"/>
      <c r="J2128" s="159"/>
      <c r="K2128" s="159"/>
      <c r="L2128" s="159"/>
      <c r="M2128" s="159"/>
      <c r="N2128" s="159"/>
      <c r="O2128" s="160"/>
    </row>
    <row r="2129" ht="1.5" customHeight="1">
      <c r="A2129" s="161"/>
      <c r="B2129" s="162"/>
      <c r="C2129" s="163"/>
      <c r="D2129" s="164"/>
      <c r="E2129" s="165"/>
      <c r="F2129" s="165"/>
      <c r="G2129" s="165"/>
      <c r="H2129" s="165"/>
      <c r="I2129" s="165"/>
      <c r="J2129" s="165"/>
      <c r="K2129" s="165"/>
      <c r="L2129" s="165"/>
      <c r="M2129" s="165"/>
      <c r="N2129" s="165"/>
      <c r="O2129" s="166"/>
    </row>
    <row r="2130" ht="1.5" customHeight="1">
      <c r="A2130" s="155"/>
      <c r="B2130" s="156"/>
      <c r="C2130" s="157"/>
      <c r="D2130" s="158"/>
      <c r="E2130" s="159"/>
      <c r="F2130" s="159"/>
      <c r="G2130" s="159"/>
      <c r="H2130" s="159"/>
      <c r="I2130" s="159"/>
      <c r="J2130" s="159"/>
      <c r="K2130" s="159"/>
      <c r="L2130" s="159"/>
      <c r="M2130" s="159"/>
      <c r="N2130" s="159"/>
      <c r="O2130" s="160"/>
    </row>
    <row r="2131" ht="1.5" customHeight="1">
      <c r="A2131" s="161"/>
      <c r="B2131" s="162"/>
      <c r="C2131" s="163"/>
      <c r="D2131" s="164"/>
      <c r="E2131" s="165"/>
      <c r="F2131" s="165"/>
      <c r="G2131" s="165"/>
      <c r="H2131" s="165"/>
      <c r="I2131" s="165"/>
      <c r="J2131" s="165"/>
      <c r="K2131" s="165"/>
      <c r="L2131" s="165"/>
      <c r="M2131" s="165"/>
      <c r="N2131" s="165"/>
      <c r="O2131" s="166"/>
    </row>
    <row r="2132" ht="1.5" customHeight="1">
      <c r="A2132" s="155"/>
      <c r="B2132" s="156"/>
      <c r="C2132" s="157"/>
      <c r="D2132" s="158"/>
      <c r="E2132" s="159"/>
      <c r="F2132" s="159"/>
      <c r="G2132" s="159"/>
      <c r="H2132" s="159"/>
      <c r="I2132" s="159"/>
      <c r="J2132" s="159"/>
      <c r="K2132" s="159"/>
      <c r="L2132" s="159"/>
      <c r="M2132" s="159"/>
      <c r="N2132" s="159"/>
      <c r="O2132" s="160"/>
    </row>
    <row r="2133" ht="1.5" customHeight="1">
      <c r="A2133" s="161"/>
      <c r="B2133" s="162"/>
      <c r="C2133" s="163"/>
      <c r="D2133" s="164"/>
      <c r="E2133" s="165"/>
      <c r="F2133" s="165"/>
      <c r="G2133" s="165"/>
      <c r="H2133" s="165"/>
      <c r="I2133" s="165"/>
      <c r="J2133" s="165"/>
      <c r="K2133" s="165"/>
      <c r="L2133" s="165"/>
      <c r="M2133" s="165"/>
      <c r="N2133" s="165"/>
      <c r="O2133" s="166"/>
    </row>
    <row r="2134" ht="1.5" customHeight="1">
      <c r="A2134" s="155"/>
      <c r="B2134" s="156"/>
      <c r="C2134" s="157"/>
      <c r="D2134" s="158"/>
      <c r="E2134" s="159"/>
      <c r="F2134" s="159"/>
      <c r="G2134" s="159"/>
      <c r="H2134" s="159"/>
      <c r="I2134" s="159"/>
      <c r="J2134" s="159"/>
      <c r="K2134" s="159"/>
      <c r="L2134" s="159"/>
      <c r="M2134" s="159"/>
      <c r="N2134" s="159"/>
      <c r="O2134" s="160"/>
    </row>
    <row r="2135" ht="1.5" customHeight="1">
      <c r="A2135" s="161"/>
      <c r="B2135" s="162"/>
      <c r="C2135" s="163"/>
      <c r="D2135" s="164"/>
      <c r="E2135" s="165"/>
      <c r="F2135" s="165"/>
      <c r="G2135" s="165"/>
      <c r="H2135" s="165"/>
      <c r="I2135" s="165"/>
      <c r="J2135" s="165"/>
      <c r="K2135" s="165"/>
      <c r="L2135" s="165"/>
      <c r="M2135" s="165"/>
      <c r="N2135" s="165"/>
      <c r="O2135" s="166"/>
    </row>
    <row r="2136" ht="1.5" customHeight="1">
      <c r="A2136" s="155"/>
      <c r="B2136" s="156"/>
      <c r="C2136" s="157"/>
      <c r="D2136" s="158"/>
      <c r="E2136" s="159"/>
      <c r="F2136" s="159"/>
      <c r="G2136" s="159"/>
      <c r="H2136" s="159"/>
      <c r="I2136" s="159"/>
      <c r="J2136" s="159"/>
      <c r="K2136" s="159"/>
      <c r="L2136" s="159"/>
      <c r="M2136" s="159"/>
      <c r="N2136" s="159"/>
      <c r="O2136" s="160"/>
    </row>
    <row r="2137" ht="1.5" customHeight="1">
      <c r="A2137" s="161"/>
      <c r="B2137" s="162"/>
      <c r="C2137" s="163"/>
      <c r="D2137" s="164"/>
      <c r="E2137" s="165"/>
      <c r="F2137" s="165"/>
      <c r="G2137" s="165"/>
      <c r="H2137" s="165"/>
      <c r="I2137" s="165"/>
      <c r="J2137" s="165"/>
      <c r="K2137" s="165"/>
      <c r="L2137" s="165"/>
      <c r="M2137" s="165"/>
      <c r="N2137" s="165"/>
      <c r="O2137" s="166"/>
    </row>
    <row r="2138" ht="1.5" customHeight="1">
      <c r="A2138" s="155"/>
      <c r="B2138" s="156"/>
      <c r="C2138" s="157"/>
      <c r="D2138" s="158"/>
      <c r="E2138" s="159"/>
      <c r="F2138" s="159"/>
      <c r="G2138" s="159"/>
      <c r="H2138" s="159"/>
      <c r="I2138" s="159"/>
      <c r="J2138" s="159"/>
      <c r="K2138" s="159"/>
      <c r="L2138" s="159"/>
      <c r="M2138" s="159"/>
      <c r="N2138" s="159"/>
      <c r="O2138" s="160"/>
    </row>
    <row r="2139" ht="1.5" customHeight="1">
      <c r="A2139" s="161"/>
      <c r="B2139" s="162"/>
      <c r="C2139" s="163"/>
      <c r="D2139" s="164"/>
      <c r="E2139" s="165"/>
      <c r="F2139" s="165"/>
      <c r="G2139" s="165"/>
      <c r="H2139" s="165"/>
      <c r="I2139" s="165"/>
      <c r="J2139" s="165"/>
      <c r="K2139" s="165"/>
      <c r="L2139" s="165"/>
      <c r="M2139" s="165"/>
      <c r="N2139" s="165"/>
      <c r="O2139" s="166"/>
    </row>
    <row r="2140" ht="1.5" customHeight="1">
      <c r="A2140" s="155"/>
      <c r="B2140" s="156"/>
      <c r="C2140" s="157"/>
      <c r="D2140" s="158"/>
      <c r="E2140" s="159"/>
      <c r="F2140" s="159"/>
      <c r="G2140" s="159"/>
      <c r="H2140" s="159"/>
      <c r="I2140" s="159"/>
      <c r="J2140" s="159"/>
      <c r="K2140" s="159"/>
      <c r="L2140" s="159"/>
      <c r="M2140" s="159"/>
      <c r="N2140" s="159"/>
      <c r="O2140" s="160"/>
    </row>
    <row r="2141" ht="1.5" customHeight="1">
      <c r="A2141" s="161"/>
      <c r="B2141" s="162"/>
      <c r="C2141" s="163"/>
      <c r="D2141" s="164"/>
      <c r="E2141" s="165"/>
      <c r="F2141" s="165"/>
      <c r="G2141" s="165"/>
      <c r="H2141" s="165"/>
      <c r="I2141" s="165"/>
      <c r="J2141" s="165"/>
      <c r="K2141" s="165"/>
      <c r="L2141" s="165"/>
      <c r="M2141" s="165"/>
      <c r="N2141" s="165"/>
      <c r="O2141" s="166"/>
    </row>
    <row r="2142" ht="1.5" customHeight="1">
      <c r="A2142" s="155"/>
      <c r="B2142" s="156"/>
      <c r="C2142" s="157"/>
      <c r="D2142" s="158"/>
      <c r="E2142" s="159"/>
      <c r="F2142" s="159"/>
      <c r="G2142" s="159"/>
      <c r="H2142" s="159"/>
      <c r="I2142" s="159"/>
      <c r="J2142" s="159"/>
      <c r="K2142" s="159"/>
      <c r="L2142" s="159"/>
      <c r="M2142" s="159"/>
      <c r="N2142" s="159"/>
      <c r="O2142" s="160"/>
    </row>
    <row r="2143" ht="1.5" customHeight="1">
      <c r="A2143" s="161"/>
      <c r="B2143" s="162"/>
      <c r="C2143" s="163"/>
      <c r="D2143" s="164"/>
      <c r="E2143" s="165"/>
      <c r="F2143" s="165"/>
      <c r="G2143" s="165"/>
      <c r="H2143" s="165"/>
      <c r="I2143" s="165"/>
      <c r="J2143" s="165"/>
      <c r="K2143" s="165"/>
      <c r="L2143" s="165"/>
      <c r="M2143" s="165"/>
      <c r="N2143" s="165"/>
      <c r="O2143" s="166"/>
    </row>
    <row r="2144" ht="1.5" customHeight="1">
      <c r="A2144" s="155"/>
      <c r="B2144" s="156"/>
      <c r="C2144" s="157"/>
      <c r="D2144" s="158"/>
      <c r="E2144" s="159"/>
      <c r="F2144" s="159"/>
      <c r="G2144" s="159"/>
      <c r="H2144" s="159"/>
      <c r="I2144" s="159"/>
      <c r="J2144" s="159"/>
      <c r="K2144" s="159"/>
      <c r="L2144" s="159"/>
      <c r="M2144" s="159"/>
      <c r="N2144" s="159"/>
      <c r="O2144" s="160"/>
    </row>
    <row r="2145" ht="1.5" customHeight="1">
      <c r="A2145" s="161"/>
      <c r="B2145" s="162"/>
      <c r="C2145" s="163"/>
      <c r="D2145" s="164"/>
      <c r="E2145" s="165"/>
      <c r="F2145" s="165"/>
      <c r="G2145" s="165"/>
      <c r="H2145" s="165"/>
      <c r="I2145" s="165"/>
      <c r="J2145" s="165"/>
      <c r="K2145" s="165"/>
      <c r="L2145" s="165"/>
      <c r="M2145" s="165"/>
      <c r="N2145" s="165"/>
      <c r="O2145" s="166"/>
    </row>
    <row r="2146" ht="1.5" customHeight="1">
      <c r="A2146" s="155"/>
      <c r="B2146" s="156"/>
      <c r="C2146" s="157"/>
      <c r="D2146" s="158"/>
      <c r="E2146" s="159"/>
      <c r="F2146" s="159"/>
      <c r="G2146" s="159"/>
      <c r="H2146" s="159"/>
      <c r="I2146" s="159"/>
      <c r="J2146" s="159"/>
      <c r="K2146" s="159"/>
      <c r="L2146" s="159"/>
      <c r="M2146" s="159"/>
      <c r="N2146" s="159"/>
      <c r="O2146" s="160"/>
    </row>
    <row r="2147" ht="1.5" customHeight="1">
      <c r="A2147" s="161"/>
      <c r="B2147" s="162"/>
      <c r="C2147" s="163"/>
      <c r="D2147" s="164"/>
      <c r="E2147" s="165"/>
      <c r="F2147" s="165"/>
      <c r="G2147" s="165"/>
      <c r="H2147" s="165"/>
      <c r="I2147" s="165"/>
      <c r="J2147" s="165"/>
      <c r="K2147" s="165"/>
      <c r="L2147" s="165"/>
      <c r="M2147" s="165"/>
      <c r="N2147" s="165"/>
      <c r="O2147" s="166"/>
    </row>
    <row r="2148" ht="1.5" customHeight="1">
      <c r="A2148" s="155"/>
      <c r="B2148" s="156"/>
      <c r="C2148" s="157"/>
      <c r="D2148" s="158"/>
      <c r="E2148" s="159"/>
      <c r="F2148" s="159"/>
      <c r="G2148" s="159"/>
      <c r="H2148" s="159"/>
      <c r="I2148" s="159"/>
      <c r="J2148" s="159"/>
      <c r="K2148" s="159"/>
      <c r="L2148" s="159"/>
      <c r="M2148" s="159"/>
      <c r="N2148" s="159"/>
      <c r="O2148" s="160"/>
    </row>
    <row r="2149" ht="1.5" customHeight="1">
      <c r="A2149" s="161"/>
      <c r="B2149" s="162"/>
      <c r="C2149" s="163"/>
      <c r="D2149" s="164"/>
      <c r="E2149" s="165"/>
      <c r="F2149" s="165"/>
      <c r="G2149" s="165"/>
      <c r="H2149" s="165"/>
      <c r="I2149" s="165"/>
      <c r="J2149" s="165"/>
      <c r="K2149" s="165"/>
      <c r="L2149" s="165"/>
      <c r="M2149" s="165"/>
      <c r="N2149" s="165"/>
      <c r="O2149" s="166"/>
    </row>
    <row r="2150" ht="1.5" customHeight="1">
      <c r="A2150" s="155"/>
      <c r="B2150" s="156"/>
      <c r="C2150" s="157"/>
      <c r="D2150" s="158"/>
      <c r="E2150" s="159"/>
      <c r="F2150" s="159"/>
      <c r="G2150" s="159"/>
      <c r="H2150" s="159"/>
      <c r="I2150" s="159"/>
      <c r="J2150" s="159"/>
      <c r="K2150" s="159"/>
      <c r="L2150" s="159"/>
      <c r="M2150" s="159"/>
      <c r="N2150" s="159"/>
      <c r="O2150" s="160"/>
    </row>
    <row r="2151" ht="1.5" customHeight="1">
      <c r="A2151" s="161"/>
      <c r="B2151" s="162"/>
      <c r="C2151" s="163"/>
      <c r="D2151" s="164"/>
      <c r="E2151" s="165"/>
      <c r="F2151" s="165"/>
      <c r="G2151" s="165"/>
      <c r="H2151" s="165"/>
      <c r="I2151" s="165"/>
      <c r="J2151" s="165"/>
      <c r="K2151" s="165"/>
      <c r="L2151" s="165"/>
      <c r="M2151" s="165"/>
      <c r="N2151" s="165"/>
      <c r="O2151" s="166"/>
    </row>
    <row r="2152" ht="1.5" customHeight="1">
      <c r="A2152" s="155"/>
      <c r="B2152" s="156"/>
      <c r="C2152" s="157"/>
      <c r="D2152" s="158"/>
      <c r="E2152" s="159"/>
      <c r="F2152" s="159"/>
      <c r="G2152" s="159"/>
      <c r="H2152" s="159"/>
      <c r="I2152" s="159"/>
      <c r="J2152" s="159"/>
      <c r="K2152" s="159"/>
      <c r="L2152" s="159"/>
      <c r="M2152" s="159"/>
      <c r="N2152" s="159"/>
      <c r="O2152" s="160"/>
    </row>
    <row r="2153" ht="1.5" customHeight="1">
      <c r="A2153" s="161"/>
      <c r="B2153" s="162"/>
      <c r="C2153" s="163"/>
      <c r="D2153" s="164"/>
      <c r="E2153" s="165"/>
      <c r="F2153" s="165"/>
      <c r="G2153" s="165"/>
      <c r="H2153" s="165"/>
      <c r="I2153" s="165"/>
      <c r="J2153" s="165"/>
      <c r="K2153" s="165"/>
      <c r="L2153" s="165"/>
      <c r="M2153" s="165"/>
      <c r="N2153" s="165"/>
      <c r="O2153" s="166"/>
    </row>
    <row r="2154" ht="1.5" customHeight="1">
      <c r="A2154" s="155"/>
      <c r="B2154" s="156"/>
      <c r="C2154" s="157"/>
      <c r="D2154" s="158"/>
      <c r="E2154" s="159"/>
      <c r="F2154" s="159"/>
      <c r="G2154" s="159"/>
      <c r="H2154" s="159"/>
      <c r="I2154" s="159"/>
      <c r="J2154" s="159"/>
      <c r="K2154" s="159"/>
      <c r="L2154" s="159"/>
      <c r="M2154" s="159"/>
      <c r="N2154" s="159"/>
      <c r="O2154" s="160"/>
    </row>
    <row r="2155" ht="1.5" customHeight="1">
      <c r="A2155" s="161"/>
      <c r="B2155" s="162"/>
      <c r="C2155" s="163"/>
      <c r="D2155" s="164"/>
      <c r="E2155" s="165"/>
      <c r="F2155" s="165"/>
      <c r="G2155" s="165"/>
      <c r="H2155" s="165"/>
      <c r="I2155" s="165"/>
      <c r="J2155" s="165"/>
      <c r="K2155" s="165"/>
      <c r="L2155" s="165"/>
      <c r="M2155" s="165"/>
      <c r="N2155" s="165"/>
      <c r="O2155" s="166"/>
    </row>
    <row r="2156" ht="1.5" customHeight="1">
      <c r="A2156" s="155"/>
      <c r="B2156" s="156"/>
      <c r="C2156" s="157"/>
      <c r="D2156" s="158"/>
      <c r="E2156" s="159"/>
      <c r="F2156" s="159"/>
      <c r="G2156" s="159"/>
      <c r="H2156" s="159"/>
      <c r="I2156" s="159"/>
      <c r="J2156" s="159"/>
      <c r="K2156" s="159"/>
      <c r="L2156" s="159"/>
      <c r="M2156" s="159"/>
      <c r="N2156" s="159"/>
      <c r="O2156" s="160"/>
    </row>
    <row r="2157" ht="1.5" customHeight="1">
      <c r="A2157" s="161"/>
      <c r="B2157" s="162"/>
      <c r="C2157" s="163"/>
      <c r="D2157" s="164"/>
      <c r="E2157" s="165"/>
      <c r="F2157" s="165"/>
      <c r="G2157" s="165"/>
      <c r="H2157" s="165"/>
      <c r="I2157" s="165"/>
      <c r="J2157" s="165"/>
      <c r="K2157" s="165"/>
      <c r="L2157" s="165"/>
      <c r="M2157" s="165"/>
      <c r="N2157" s="165"/>
      <c r="O2157" s="166"/>
    </row>
    <row r="2158" ht="1.5" customHeight="1">
      <c r="A2158" s="155"/>
      <c r="B2158" s="156"/>
      <c r="C2158" s="157"/>
      <c r="D2158" s="158"/>
      <c r="E2158" s="159"/>
      <c r="F2158" s="159"/>
      <c r="G2158" s="159"/>
      <c r="H2158" s="159"/>
      <c r="I2158" s="159"/>
      <c r="J2158" s="159"/>
      <c r="K2158" s="159"/>
      <c r="L2158" s="159"/>
      <c r="M2158" s="159"/>
      <c r="N2158" s="159"/>
      <c r="O2158" s="160"/>
    </row>
    <row r="2159" ht="1.5" customHeight="1">
      <c r="A2159" s="161"/>
      <c r="B2159" s="162"/>
      <c r="C2159" s="163"/>
      <c r="D2159" s="164"/>
      <c r="E2159" s="165"/>
      <c r="F2159" s="165"/>
      <c r="G2159" s="165"/>
      <c r="H2159" s="165"/>
      <c r="I2159" s="165"/>
      <c r="J2159" s="165"/>
      <c r="K2159" s="165"/>
      <c r="L2159" s="165"/>
      <c r="M2159" s="165"/>
      <c r="N2159" s="165"/>
      <c r="O2159" s="166"/>
    </row>
    <row r="2160" ht="1.5" customHeight="1">
      <c r="A2160" s="155"/>
      <c r="B2160" s="156"/>
      <c r="C2160" s="157"/>
      <c r="D2160" s="158"/>
      <c r="E2160" s="159"/>
      <c r="F2160" s="159"/>
      <c r="G2160" s="159"/>
      <c r="H2160" s="159"/>
      <c r="I2160" s="159"/>
      <c r="J2160" s="159"/>
      <c r="K2160" s="159"/>
      <c r="L2160" s="159"/>
      <c r="M2160" s="159"/>
      <c r="N2160" s="159"/>
      <c r="O2160" s="160"/>
    </row>
    <row r="2161" ht="1.5" customHeight="1">
      <c r="A2161" s="161"/>
      <c r="B2161" s="162"/>
      <c r="C2161" s="163"/>
      <c r="D2161" s="164"/>
      <c r="E2161" s="165"/>
      <c r="F2161" s="165"/>
      <c r="G2161" s="165"/>
      <c r="H2161" s="165"/>
      <c r="I2161" s="165"/>
      <c r="J2161" s="165"/>
      <c r="K2161" s="165"/>
      <c r="L2161" s="165"/>
      <c r="M2161" s="165"/>
      <c r="N2161" s="165"/>
      <c r="O2161" s="166"/>
    </row>
    <row r="2162" ht="1.5" customHeight="1">
      <c r="A2162" s="155"/>
      <c r="B2162" s="156"/>
      <c r="C2162" s="157"/>
      <c r="D2162" s="158"/>
      <c r="E2162" s="159"/>
      <c r="F2162" s="159"/>
      <c r="G2162" s="159"/>
      <c r="H2162" s="159"/>
      <c r="I2162" s="159"/>
      <c r="J2162" s="159"/>
      <c r="K2162" s="159"/>
      <c r="L2162" s="159"/>
      <c r="M2162" s="159"/>
      <c r="N2162" s="159"/>
      <c r="O2162" s="160"/>
    </row>
    <row r="2163" ht="1.5" customHeight="1">
      <c r="A2163" s="161"/>
      <c r="B2163" s="162"/>
      <c r="C2163" s="163"/>
      <c r="D2163" s="164"/>
      <c r="E2163" s="165"/>
      <c r="F2163" s="165"/>
      <c r="G2163" s="165"/>
      <c r="H2163" s="165"/>
      <c r="I2163" s="165"/>
      <c r="J2163" s="165"/>
      <c r="K2163" s="165"/>
      <c r="L2163" s="165"/>
      <c r="M2163" s="165"/>
      <c r="N2163" s="165"/>
      <c r="O2163" s="166"/>
    </row>
    <row r="2164" ht="1.5" customHeight="1">
      <c r="A2164" s="155"/>
      <c r="B2164" s="156"/>
      <c r="C2164" s="157"/>
      <c r="D2164" s="158"/>
      <c r="E2164" s="159"/>
      <c r="F2164" s="159"/>
      <c r="G2164" s="159"/>
      <c r="H2164" s="159"/>
      <c r="I2164" s="159"/>
      <c r="J2164" s="159"/>
      <c r="K2164" s="159"/>
      <c r="L2164" s="159"/>
      <c r="M2164" s="159"/>
      <c r="N2164" s="159"/>
      <c r="O2164" s="160"/>
    </row>
    <row r="2165" ht="1.5" customHeight="1">
      <c r="A2165" s="161"/>
      <c r="B2165" s="162"/>
      <c r="C2165" s="163"/>
      <c r="D2165" s="164"/>
      <c r="E2165" s="165"/>
      <c r="F2165" s="165"/>
      <c r="G2165" s="165"/>
      <c r="H2165" s="165"/>
      <c r="I2165" s="165"/>
      <c r="J2165" s="165"/>
      <c r="K2165" s="165"/>
      <c r="L2165" s="165"/>
      <c r="M2165" s="165"/>
      <c r="N2165" s="165"/>
      <c r="O2165" s="166"/>
    </row>
    <row r="2166" ht="1.5" customHeight="1">
      <c r="A2166" s="155"/>
      <c r="B2166" s="156"/>
      <c r="C2166" s="157"/>
      <c r="D2166" s="158"/>
      <c r="E2166" s="159"/>
      <c r="F2166" s="159"/>
      <c r="G2166" s="159"/>
      <c r="H2166" s="159"/>
      <c r="I2166" s="159"/>
      <c r="J2166" s="159"/>
      <c r="K2166" s="159"/>
      <c r="L2166" s="159"/>
      <c r="M2166" s="159"/>
      <c r="N2166" s="159"/>
      <c r="O2166" s="160"/>
    </row>
    <row r="2167" ht="1.5" customHeight="1">
      <c r="A2167" s="161"/>
      <c r="B2167" s="162"/>
      <c r="C2167" s="163"/>
      <c r="D2167" s="164"/>
      <c r="E2167" s="165"/>
      <c r="F2167" s="165"/>
      <c r="G2167" s="165"/>
      <c r="H2167" s="165"/>
      <c r="I2167" s="165"/>
      <c r="J2167" s="165"/>
      <c r="K2167" s="165"/>
      <c r="L2167" s="165"/>
      <c r="M2167" s="165"/>
      <c r="N2167" s="165"/>
      <c r="O2167" s="166"/>
    </row>
    <row r="2168" ht="1.5" customHeight="1">
      <c r="A2168" s="155"/>
      <c r="B2168" s="156"/>
      <c r="C2168" s="157"/>
      <c r="D2168" s="158"/>
      <c r="E2168" s="159"/>
      <c r="F2168" s="159"/>
      <c r="G2168" s="159"/>
      <c r="H2168" s="159"/>
      <c r="I2168" s="159"/>
      <c r="J2168" s="159"/>
      <c r="K2168" s="159"/>
      <c r="L2168" s="159"/>
      <c r="M2168" s="159"/>
      <c r="N2168" s="159"/>
      <c r="O2168" s="160"/>
    </row>
    <row r="2169" ht="1.5" customHeight="1">
      <c r="A2169" s="161"/>
      <c r="B2169" s="162"/>
      <c r="C2169" s="163"/>
      <c r="D2169" s="164"/>
      <c r="E2169" s="165"/>
      <c r="F2169" s="165"/>
      <c r="G2169" s="165"/>
      <c r="H2169" s="165"/>
      <c r="I2169" s="165"/>
      <c r="J2169" s="165"/>
      <c r="K2169" s="165"/>
      <c r="L2169" s="165"/>
      <c r="M2169" s="165"/>
      <c r="N2169" s="165"/>
      <c r="O2169" s="166"/>
    </row>
    <row r="2170" ht="1.5" customHeight="1">
      <c r="A2170" s="155"/>
      <c r="B2170" s="156"/>
      <c r="C2170" s="157"/>
      <c r="D2170" s="158"/>
      <c r="E2170" s="159"/>
      <c r="F2170" s="159"/>
      <c r="G2170" s="159"/>
      <c r="H2170" s="159"/>
      <c r="I2170" s="159"/>
      <c r="J2170" s="159"/>
      <c r="K2170" s="159"/>
      <c r="L2170" s="159"/>
      <c r="M2170" s="159"/>
      <c r="N2170" s="159"/>
      <c r="O2170" s="160"/>
    </row>
    <row r="2171" ht="1.5" customHeight="1">
      <c r="A2171" s="161"/>
      <c r="B2171" s="162"/>
      <c r="C2171" s="163"/>
      <c r="D2171" s="164"/>
      <c r="E2171" s="165"/>
      <c r="F2171" s="165"/>
      <c r="G2171" s="165"/>
      <c r="H2171" s="165"/>
      <c r="I2171" s="165"/>
      <c r="J2171" s="165"/>
      <c r="K2171" s="165"/>
      <c r="L2171" s="165"/>
      <c r="M2171" s="165"/>
      <c r="N2171" s="165"/>
      <c r="O2171" s="166"/>
    </row>
    <row r="2172" ht="1.5" customHeight="1">
      <c r="A2172" s="155"/>
      <c r="B2172" s="156"/>
      <c r="C2172" s="157"/>
      <c r="D2172" s="158"/>
      <c r="E2172" s="159"/>
      <c r="F2172" s="159"/>
      <c r="G2172" s="159"/>
      <c r="H2172" s="159"/>
      <c r="I2172" s="159"/>
      <c r="J2172" s="159"/>
      <c r="K2172" s="159"/>
      <c r="L2172" s="159"/>
      <c r="M2172" s="159"/>
      <c r="N2172" s="159"/>
      <c r="O2172" s="160"/>
    </row>
    <row r="2173" ht="1.5" customHeight="1">
      <c r="A2173" s="161"/>
      <c r="B2173" s="162"/>
      <c r="C2173" s="163"/>
      <c r="D2173" s="164"/>
      <c r="E2173" s="165"/>
      <c r="F2173" s="165"/>
      <c r="G2173" s="165"/>
      <c r="H2173" s="165"/>
      <c r="I2173" s="165"/>
      <c r="J2173" s="165"/>
      <c r="K2173" s="165"/>
      <c r="L2173" s="165"/>
      <c r="M2173" s="165"/>
      <c r="N2173" s="165"/>
      <c r="O2173" s="166"/>
    </row>
    <row r="2174" ht="1.5" customHeight="1">
      <c r="A2174" s="155"/>
      <c r="B2174" s="156"/>
      <c r="C2174" s="157"/>
      <c r="D2174" s="158"/>
      <c r="E2174" s="159"/>
      <c r="F2174" s="159"/>
      <c r="G2174" s="159"/>
      <c r="H2174" s="159"/>
      <c r="I2174" s="159"/>
      <c r="J2174" s="159"/>
      <c r="K2174" s="159"/>
      <c r="L2174" s="159"/>
      <c r="M2174" s="159"/>
      <c r="N2174" s="159"/>
      <c r="O2174" s="160"/>
    </row>
    <row r="2175" ht="1.5" customHeight="1">
      <c r="A2175" s="161"/>
      <c r="B2175" s="162"/>
      <c r="C2175" s="163"/>
      <c r="D2175" s="164"/>
      <c r="E2175" s="165"/>
      <c r="F2175" s="165"/>
      <c r="G2175" s="165"/>
      <c r="H2175" s="165"/>
      <c r="I2175" s="165"/>
      <c r="J2175" s="165"/>
      <c r="K2175" s="165"/>
      <c r="L2175" s="165"/>
      <c r="M2175" s="165"/>
      <c r="N2175" s="165"/>
      <c r="O2175" s="166"/>
    </row>
    <row r="2176" ht="1.5" customHeight="1">
      <c r="A2176" s="155"/>
      <c r="B2176" s="156"/>
      <c r="C2176" s="157"/>
      <c r="D2176" s="158"/>
      <c r="E2176" s="159"/>
      <c r="F2176" s="159"/>
      <c r="G2176" s="159"/>
      <c r="H2176" s="159"/>
      <c r="I2176" s="159"/>
      <c r="J2176" s="159"/>
      <c r="K2176" s="159"/>
      <c r="L2176" s="159"/>
      <c r="M2176" s="159"/>
      <c r="N2176" s="159"/>
      <c r="O2176" s="160"/>
    </row>
    <row r="2177" ht="1.5" customHeight="1">
      <c r="A2177" s="161"/>
      <c r="B2177" s="162"/>
      <c r="C2177" s="163"/>
      <c r="D2177" s="164"/>
      <c r="E2177" s="165"/>
      <c r="F2177" s="165"/>
      <c r="G2177" s="165"/>
      <c r="H2177" s="165"/>
      <c r="I2177" s="165"/>
      <c r="J2177" s="165"/>
      <c r="K2177" s="165"/>
      <c r="L2177" s="165"/>
      <c r="M2177" s="165"/>
      <c r="N2177" s="165"/>
      <c r="O2177" s="166"/>
    </row>
    <row r="2178" ht="1.5" customHeight="1">
      <c r="A2178" s="155"/>
      <c r="B2178" s="156"/>
      <c r="C2178" s="157"/>
      <c r="D2178" s="158"/>
      <c r="E2178" s="159"/>
      <c r="F2178" s="159"/>
      <c r="G2178" s="159"/>
      <c r="H2178" s="159"/>
      <c r="I2178" s="159"/>
      <c r="J2178" s="159"/>
      <c r="K2178" s="159"/>
      <c r="L2178" s="159"/>
      <c r="M2178" s="159"/>
      <c r="N2178" s="159"/>
      <c r="O2178" s="160"/>
    </row>
    <row r="2179" ht="1.5" customHeight="1">
      <c r="A2179" s="161"/>
      <c r="B2179" s="162"/>
      <c r="C2179" s="163"/>
      <c r="D2179" s="164"/>
      <c r="E2179" s="165"/>
      <c r="F2179" s="165"/>
      <c r="G2179" s="165"/>
      <c r="H2179" s="165"/>
      <c r="I2179" s="165"/>
      <c r="J2179" s="165"/>
      <c r="K2179" s="165"/>
      <c r="L2179" s="165"/>
      <c r="M2179" s="165"/>
      <c r="N2179" s="165"/>
      <c r="O2179" s="166"/>
    </row>
    <row r="2180" ht="1.5" customHeight="1">
      <c r="A2180" s="155"/>
      <c r="B2180" s="156"/>
      <c r="C2180" s="157"/>
      <c r="D2180" s="158"/>
      <c r="E2180" s="159"/>
      <c r="F2180" s="159"/>
      <c r="G2180" s="159"/>
      <c r="H2180" s="159"/>
      <c r="I2180" s="159"/>
      <c r="J2180" s="159"/>
      <c r="K2180" s="159"/>
      <c r="L2180" s="159"/>
      <c r="M2180" s="159"/>
      <c r="N2180" s="159"/>
      <c r="O2180" s="160"/>
    </row>
    <row r="2181" ht="1.5" customHeight="1">
      <c r="A2181" s="161"/>
      <c r="B2181" s="162"/>
      <c r="C2181" s="163"/>
      <c r="D2181" s="164"/>
      <c r="E2181" s="165"/>
      <c r="F2181" s="165"/>
      <c r="G2181" s="165"/>
      <c r="H2181" s="165"/>
      <c r="I2181" s="165"/>
      <c r="J2181" s="165"/>
      <c r="K2181" s="165"/>
      <c r="L2181" s="165"/>
      <c r="M2181" s="165"/>
      <c r="N2181" s="165"/>
      <c r="O2181" s="166"/>
    </row>
    <row r="2182" ht="1.5" customHeight="1">
      <c r="A2182" s="155"/>
      <c r="B2182" s="156"/>
      <c r="C2182" s="157"/>
      <c r="D2182" s="158"/>
      <c r="E2182" s="159"/>
      <c r="F2182" s="159"/>
      <c r="G2182" s="159"/>
      <c r="H2182" s="159"/>
      <c r="I2182" s="159"/>
      <c r="J2182" s="159"/>
      <c r="K2182" s="159"/>
      <c r="L2182" s="159"/>
      <c r="M2182" s="159"/>
      <c r="N2182" s="159"/>
      <c r="O2182" s="160"/>
    </row>
    <row r="2183" ht="1.5" customHeight="1">
      <c r="A2183" s="161"/>
      <c r="B2183" s="162"/>
      <c r="C2183" s="163"/>
      <c r="D2183" s="164"/>
      <c r="E2183" s="165"/>
      <c r="F2183" s="165"/>
      <c r="G2183" s="165"/>
      <c r="H2183" s="165"/>
      <c r="I2183" s="165"/>
      <c r="J2183" s="165"/>
      <c r="K2183" s="165"/>
      <c r="L2183" s="165"/>
      <c r="M2183" s="165"/>
      <c r="N2183" s="165"/>
      <c r="O2183" s="166"/>
    </row>
    <row r="2184" ht="1.5" customHeight="1">
      <c r="A2184" s="155"/>
      <c r="B2184" s="156"/>
      <c r="C2184" s="157"/>
      <c r="D2184" s="158"/>
      <c r="E2184" s="159"/>
      <c r="F2184" s="159"/>
      <c r="G2184" s="159"/>
      <c r="H2184" s="159"/>
      <c r="I2184" s="159"/>
      <c r="J2184" s="159"/>
      <c r="K2184" s="159"/>
      <c r="L2184" s="159"/>
      <c r="M2184" s="159"/>
      <c r="N2184" s="159"/>
      <c r="O2184" s="160"/>
    </row>
    <row r="2185" ht="1.5" customHeight="1">
      <c r="A2185" s="161"/>
      <c r="B2185" s="162"/>
      <c r="C2185" s="163"/>
      <c r="D2185" s="164"/>
      <c r="E2185" s="165"/>
      <c r="F2185" s="165"/>
      <c r="G2185" s="165"/>
      <c r="H2185" s="165"/>
      <c r="I2185" s="165"/>
      <c r="J2185" s="165"/>
      <c r="K2185" s="165"/>
      <c r="L2185" s="165"/>
      <c r="M2185" s="165"/>
      <c r="N2185" s="165"/>
      <c r="O2185" s="166"/>
    </row>
    <row r="2186" ht="1.5" customHeight="1">
      <c r="A2186" s="155"/>
      <c r="B2186" s="156"/>
      <c r="C2186" s="157"/>
      <c r="D2186" s="158"/>
      <c r="E2186" s="159"/>
      <c r="F2186" s="159"/>
      <c r="G2186" s="159"/>
      <c r="H2186" s="159"/>
      <c r="I2186" s="159"/>
      <c r="J2186" s="159"/>
      <c r="K2186" s="159"/>
      <c r="L2186" s="159"/>
      <c r="M2186" s="159"/>
      <c r="N2186" s="159"/>
      <c r="O2186" s="160"/>
    </row>
    <row r="2187" ht="1.5" customHeight="1">
      <c r="A2187" s="161"/>
      <c r="B2187" s="162"/>
      <c r="C2187" s="163"/>
      <c r="D2187" s="164"/>
      <c r="E2187" s="165"/>
      <c r="F2187" s="165"/>
      <c r="G2187" s="165"/>
      <c r="H2187" s="165"/>
      <c r="I2187" s="165"/>
      <c r="J2187" s="165"/>
      <c r="K2187" s="165"/>
      <c r="L2187" s="165"/>
      <c r="M2187" s="165"/>
      <c r="N2187" s="165"/>
      <c r="O2187" s="166"/>
    </row>
    <row r="2188" ht="1.5" customHeight="1">
      <c r="A2188" s="155"/>
      <c r="B2188" s="156"/>
      <c r="C2188" s="157"/>
      <c r="D2188" s="158"/>
      <c r="E2188" s="159"/>
      <c r="F2188" s="159"/>
      <c r="G2188" s="159"/>
      <c r="H2188" s="159"/>
      <c r="I2188" s="159"/>
      <c r="J2188" s="159"/>
      <c r="K2188" s="159"/>
      <c r="L2188" s="159"/>
      <c r="M2188" s="159"/>
      <c r="N2188" s="159"/>
      <c r="O2188" s="160"/>
    </row>
    <row r="2189" ht="1.5" customHeight="1">
      <c r="A2189" s="161"/>
      <c r="B2189" s="162"/>
      <c r="C2189" s="163"/>
      <c r="D2189" s="164"/>
      <c r="E2189" s="165"/>
      <c r="F2189" s="165"/>
      <c r="G2189" s="165"/>
      <c r="H2189" s="165"/>
      <c r="I2189" s="165"/>
      <c r="J2189" s="165"/>
      <c r="K2189" s="165"/>
      <c r="L2189" s="165"/>
      <c r="M2189" s="165"/>
      <c r="N2189" s="165"/>
      <c r="O2189" s="166"/>
    </row>
    <row r="2190" ht="1.5" customHeight="1">
      <c r="A2190" s="155"/>
      <c r="B2190" s="156"/>
      <c r="C2190" s="157"/>
      <c r="D2190" s="158"/>
      <c r="E2190" s="159"/>
      <c r="F2190" s="159"/>
      <c r="G2190" s="159"/>
      <c r="H2190" s="159"/>
      <c r="I2190" s="159"/>
      <c r="J2190" s="159"/>
      <c r="K2190" s="159"/>
      <c r="L2190" s="159"/>
      <c r="M2190" s="159"/>
      <c r="N2190" s="159"/>
      <c r="O2190" s="160"/>
    </row>
    <row r="2191" ht="1.5" customHeight="1">
      <c r="A2191" s="161"/>
      <c r="B2191" s="162"/>
      <c r="C2191" s="163"/>
      <c r="D2191" s="164"/>
      <c r="E2191" s="165"/>
      <c r="F2191" s="165"/>
      <c r="G2191" s="165"/>
      <c r="H2191" s="165"/>
      <c r="I2191" s="165"/>
      <c r="J2191" s="165"/>
      <c r="K2191" s="165"/>
      <c r="L2191" s="165"/>
      <c r="M2191" s="165"/>
      <c r="N2191" s="165"/>
      <c r="O2191" s="166"/>
    </row>
    <row r="2192" ht="1.5" customHeight="1">
      <c r="A2192" s="155"/>
      <c r="B2192" s="156"/>
      <c r="C2192" s="157"/>
      <c r="D2192" s="158"/>
      <c r="E2192" s="159"/>
      <c r="F2192" s="159"/>
      <c r="G2192" s="159"/>
      <c r="H2192" s="159"/>
      <c r="I2192" s="159"/>
      <c r="J2192" s="159"/>
      <c r="K2192" s="159"/>
      <c r="L2192" s="159"/>
      <c r="M2192" s="159"/>
      <c r="N2192" s="159"/>
      <c r="O2192" s="160"/>
    </row>
    <row r="2193" ht="1.5" customHeight="1">
      <c r="A2193" s="161"/>
      <c r="B2193" s="162"/>
      <c r="C2193" s="163"/>
      <c r="D2193" s="164"/>
      <c r="E2193" s="165"/>
      <c r="F2193" s="165"/>
      <c r="G2193" s="165"/>
      <c r="H2193" s="165"/>
      <c r="I2193" s="165"/>
      <c r="J2193" s="165"/>
      <c r="K2193" s="165"/>
      <c r="L2193" s="165"/>
      <c r="M2193" s="165"/>
      <c r="N2193" s="165"/>
      <c r="O2193" s="166"/>
    </row>
    <row r="2194" ht="1.5" customHeight="1">
      <c r="A2194" s="155"/>
      <c r="B2194" s="156"/>
      <c r="C2194" s="157"/>
      <c r="D2194" s="158"/>
      <c r="E2194" s="159"/>
      <c r="F2194" s="159"/>
      <c r="G2194" s="159"/>
      <c r="H2194" s="159"/>
      <c r="I2194" s="159"/>
      <c r="J2194" s="159"/>
      <c r="K2194" s="159"/>
      <c r="L2194" s="159"/>
      <c r="M2194" s="159"/>
      <c r="N2194" s="159"/>
      <c r="O2194" s="160"/>
    </row>
    <row r="2195" ht="1.5" customHeight="1">
      <c r="A2195" s="161"/>
      <c r="B2195" s="162"/>
      <c r="C2195" s="163"/>
      <c r="D2195" s="164"/>
      <c r="E2195" s="165"/>
      <c r="F2195" s="165"/>
      <c r="G2195" s="165"/>
      <c r="H2195" s="165"/>
      <c r="I2195" s="165"/>
      <c r="J2195" s="165"/>
      <c r="K2195" s="165"/>
      <c r="L2195" s="165"/>
      <c r="M2195" s="165"/>
      <c r="N2195" s="165"/>
      <c r="O2195" s="166"/>
    </row>
    <row r="2196" ht="1.5" customHeight="1">
      <c r="A2196" s="155"/>
      <c r="B2196" s="156"/>
      <c r="C2196" s="157"/>
      <c r="D2196" s="158"/>
      <c r="E2196" s="159"/>
      <c r="F2196" s="159"/>
      <c r="G2196" s="159"/>
      <c r="H2196" s="159"/>
      <c r="I2196" s="159"/>
      <c r="J2196" s="159"/>
      <c r="K2196" s="159"/>
      <c r="L2196" s="159"/>
      <c r="M2196" s="159"/>
      <c r="N2196" s="159"/>
      <c r="O2196" s="160"/>
    </row>
    <row r="2197" ht="1.5" customHeight="1">
      <c r="A2197" s="161"/>
      <c r="B2197" s="162"/>
      <c r="C2197" s="163"/>
      <c r="D2197" s="164"/>
      <c r="E2197" s="165"/>
      <c r="F2197" s="165"/>
      <c r="G2197" s="165"/>
      <c r="H2197" s="165"/>
      <c r="I2197" s="165"/>
      <c r="J2197" s="165"/>
      <c r="K2197" s="165"/>
      <c r="L2197" s="165"/>
      <c r="M2197" s="165"/>
      <c r="N2197" s="165"/>
      <c r="O2197" s="166"/>
    </row>
    <row r="2198" ht="1.5" customHeight="1">
      <c r="A2198" s="155"/>
      <c r="B2198" s="156"/>
      <c r="C2198" s="157"/>
      <c r="D2198" s="158"/>
      <c r="E2198" s="159"/>
      <c r="F2198" s="159"/>
      <c r="G2198" s="159"/>
      <c r="H2198" s="159"/>
      <c r="I2198" s="159"/>
      <c r="J2198" s="159"/>
      <c r="K2198" s="159"/>
      <c r="L2198" s="159"/>
      <c r="M2198" s="159"/>
      <c r="N2198" s="159"/>
      <c r="O2198" s="160"/>
    </row>
    <row r="2199" ht="1.5" customHeight="1">
      <c r="A2199" s="161"/>
      <c r="B2199" s="162"/>
      <c r="C2199" s="163"/>
      <c r="D2199" s="164"/>
      <c r="E2199" s="165"/>
      <c r="F2199" s="165"/>
      <c r="G2199" s="165"/>
      <c r="H2199" s="165"/>
      <c r="I2199" s="165"/>
      <c r="J2199" s="165"/>
      <c r="K2199" s="165"/>
      <c r="L2199" s="165"/>
      <c r="M2199" s="165"/>
      <c r="N2199" s="165"/>
      <c r="O2199" s="166"/>
    </row>
    <row r="2200" ht="1.5" customHeight="1">
      <c r="A2200" s="155"/>
      <c r="B2200" s="156"/>
      <c r="C2200" s="157"/>
      <c r="D2200" s="158"/>
      <c r="E2200" s="159"/>
      <c r="F2200" s="159"/>
      <c r="G2200" s="159"/>
      <c r="H2200" s="159"/>
      <c r="I2200" s="159"/>
      <c r="J2200" s="159"/>
      <c r="K2200" s="159"/>
      <c r="L2200" s="159"/>
      <c r="M2200" s="159"/>
      <c r="N2200" s="159"/>
      <c r="O2200" s="160"/>
    </row>
    <row r="2201" ht="1.5" customHeight="1">
      <c r="A2201" s="161"/>
      <c r="B2201" s="162"/>
      <c r="C2201" s="163"/>
      <c r="D2201" s="164"/>
      <c r="E2201" s="165"/>
      <c r="F2201" s="165"/>
      <c r="G2201" s="165"/>
      <c r="H2201" s="165"/>
      <c r="I2201" s="165"/>
      <c r="J2201" s="165"/>
      <c r="K2201" s="165"/>
      <c r="L2201" s="165"/>
      <c r="M2201" s="165"/>
      <c r="N2201" s="165"/>
      <c r="O2201" s="166"/>
    </row>
    <row r="2202" ht="1.5" customHeight="1">
      <c r="A2202" s="155"/>
      <c r="B2202" s="156"/>
      <c r="C2202" s="157"/>
      <c r="D2202" s="158"/>
      <c r="E2202" s="159"/>
      <c r="F2202" s="159"/>
      <c r="G2202" s="159"/>
      <c r="H2202" s="159"/>
      <c r="I2202" s="159"/>
      <c r="J2202" s="159"/>
      <c r="K2202" s="159"/>
      <c r="L2202" s="159"/>
      <c r="M2202" s="159"/>
      <c r="N2202" s="159"/>
      <c r="O2202" s="160"/>
    </row>
    <row r="2203" ht="1.5" customHeight="1">
      <c r="A2203" s="161"/>
      <c r="B2203" s="162"/>
      <c r="C2203" s="163"/>
      <c r="D2203" s="164"/>
      <c r="E2203" s="165"/>
      <c r="F2203" s="165"/>
      <c r="G2203" s="165"/>
      <c r="H2203" s="165"/>
      <c r="I2203" s="165"/>
      <c r="J2203" s="165"/>
      <c r="K2203" s="165"/>
      <c r="L2203" s="165"/>
      <c r="M2203" s="165"/>
      <c r="N2203" s="165"/>
      <c r="O2203" s="166"/>
    </row>
    <row r="2204" ht="1.5" customHeight="1">
      <c r="A2204" s="155"/>
      <c r="B2204" s="156"/>
      <c r="C2204" s="157"/>
      <c r="D2204" s="158"/>
      <c r="E2204" s="159"/>
      <c r="F2204" s="159"/>
      <c r="G2204" s="159"/>
      <c r="H2204" s="159"/>
      <c r="I2204" s="159"/>
      <c r="J2204" s="159"/>
      <c r="K2204" s="159"/>
      <c r="L2204" s="159"/>
      <c r="M2204" s="159"/>
      <c r="N2204" s="159"/>
      <c r="O2204" s="160"/>
    </row>
    <row r="2205" ht="1.5" customHeight="1">
      <c r="A2205" s="161"/>
      <c r="B2205" s="162"/>
      <c r="C2205" s="163"/>
      <c r="D2205" s="164"/>
      <c r="E2205" s="165"/>
      <c r="F2205" s="165"/>
      <c r="G2205" s="165"/>
      <c r="H2205" s="165"/>
      <c r="I2205" s="165"/>
      <c r="J2205" s="165"/>
      <c r="K2205" s="165"/>
      <c r="L2205" s="165"/>
      <c r="M2205" s="165"/>
      <c r="N2205" s="165"/>
      <c r="O2205" s="166"/>
    </row>
    <row r="2206" ht="1.5" customHeight="1">
      <c r="A2206" s="155"/>
      <c r="B2206" s="156"/>
      <c r="C2206" s="157"/>
      <c r="D2206" s="158"/>
      <c r="E2206" s="159"/>
      <c r="F2206" s="159"/>
      <c r="G2206" s="159"/>
      <c r="H2206" s="159"/>
      <c r="I2206" s="159"/>
      <c r="J2206" s="159"/>
      <c r="K2206" s="159"/>
      <c r="L2206" s="159"/>
      <c r="M2206" s="159"/>
      <c r="N2206" s="159"/>
      <c r="O2206" s="160"/>
    </row>
    <row r="2207" ht="1.5" customHeight="1">
      <c r="A2207" s="161"/>
      <c r="B2207" s="162"/>
      <c r="C2207" s="163"/>
      <c r="D2207" s="164"/>
      <c r="E2207" s="165"/>
      <c r="F2207" s="165"/>
      <c r="G2207" s="165"/>
      <c r="H2207" s="165"/>
      <c r="I2207" s="165"/>
      <c r="J2207" s="165"/>
      <c r="K2207" s="165"/>
      <c r="L2207" s="165"/>
      <c r="M2207" s="165"/>
      <c r="N2207" s="165"/>
      <c r="O2207" s="166"/>
    </row>
    <row r="2208" ht="1.5" customHeight="1">
      <c r="A2208" s="155"/>
      <c r="B2208" s="156"/>
      <c r="C2208" s="157"/>
      <c r="D2208" s="158"/>
      <c r="E2208" s="159"/>
      <c r="F2208" s="159"/>
      <c r="G2208" s="159"/>
      <c r="H2208" s="159"/>
      <c r="I2208" s="159"/>
      <c r="J2208" s="159"/>
      <c r="K2208" s="159"/>
      <c r="L2208" s="159"/>
      <c r="M2208" s="159"/>
      <c r="N2208" s="159"/>
      <c r="O2208" s="160"/>
    </row>
    <row r="2209" ht="1.5" customHeight="1">
      <c r="A2209" s="161"/>
      <c r="B2209" s="162"/>
      <c r="C2209" s="163"/>
      <c r="D2209" s="164"/>
      <c r="E2209" s="165"/>
      <c r="F2209" s="165"/>
      <c r="G2209" s="165"/>
      <c r="H2209" s="165"/>
      <c r="I2209" s="165"/>
      <c r="J2209" s="165"/>
      <c r="K2209" s="165"/>
      <c r="L2209" s="165"/>
      <c r="M2209" s="165"/>
      <c r="N2209" s="165"/>
      <c r="O2209" s="166"/>
    </row>
    <row r="2210" ht="1.5" customHeight="1">
      <c r="A2210" s="155"/>
      <c r="B2210" s="156"/>
      <c r="C2210" s="157"/>
      <c r="D2210" s="158"/>
      <c r="E2210" s="159"/>
      <c r="F2210" s="159"/>
      <c r="G2210" s="159"/>
      <c r="H2210" s="159"/>
      <c r="I2210" s="159"/>
      <c r="J2210" s="159"/>
      <c r="K2210" s="159"/>
      <c r="L2210" s="159"/>
      <c r="M2210" s="159"/>
      <c r="N2210" s="159"/>
      <c r="O2210" s="160"/>
    </row>
    <row r="2211" ht="1.5" customHeight="1">
      <c r="A2211" s="161"/>
      <c r="B2211" s="162"/>
      <c r="C2211" s="163"/>
      <c r="D2211" s="164"/>
      <c r="E2211" s="165"/>
      <c r="F2211" s="165"/>
      <c r="G2211" s="165"/>
      <c r="H2211" s="165"/>
      <c r="I2211" s="165"/>
      <c r="J2211" s="165"/>
      <c r="K2211" s="165"/>
      <c r="L2211" s="165"/>
      <c r="M2211" s="165"/>
      <c r="N2211" s="165"/>
      <c r="O2211" s="166"/>
    </row>
    <row r="2212" ht="1.5" customHeight="1">
      <c r="A2212" s="155"/>
      <c r="B2212" s="156"/>
      <c r="C2212" s="157"/>
      <c r="D2212" s="158"/>
      <c r="E2212" s="159"/>
      <c r="F2212" s="159"/>
      <c r="G2212" s="159"/>
      <c r="H2212" s="159"/>
      <c r="I2212" s="159"/>
      <c r="J2212" s="159"/>
      <c r="K2212" s="159"/>
      <c r="L2212" s="159"/>
      <c r="M2212" s="159"/>
      <c r="N2212" s="159"/>
      <c r="O2212" s="160"/>
    </row>
    <row r="2213" ht="1.5" customHeight="1">
      <c r="A2213" s="161"/>
      <c r="B2213" s="162"/>
      <c r="C2213" s="163"/>
      <c r="D2213" s="164"/>
      <c r="E2213" s="165"/>
      <c r="F2213" s="165"/>
      <c r="G2213" s="165"/>
      <c r="H2213" s="165"/>
      <c r="I2213" s="165"/>
      <c r="J2213" s="165"/>
      <c r="K2213" s="165"/>
      <c r="L2213" s="165"/>
      <c r="M2213" s="165"/>
      <c r="N2213" s="165"/>
      <c r="O2213" s="166"/>
    </row>
    <row r="2214" ht="1.5" customHeight="1">
      <c r="A2214" s="155"/>
      <c r="B2214" s="156"/>
      <c r="C2214" s="157"/>
      <c r="D2214" s="158"/>
      <c r="E2214" s="159"/>
      <c r="F2214" s="159"/>
      <c r="G2214" s="159"/>
      <c r="H2214" s="159"/>
      <c r="I2214" s="159"/>
      <c r="J2214" s="159"/>
      <c r="K2214" s="159"/>
      <c r="L2214" s="159"/>
      <c r="M2214" s="159"/>
      <c r="N2214" s="159"/>
      <c r="O2214" s="160"/>
    </row>
    <row r="2215" ht="1.5" customHeight="1">
      <c r="A2215" s="161"/>
      <c r="B2215" s="162"/>
      <c r="C2215" s="163"/>
      <c r="D2215" s="164"/>
      <c r="E2215" s="165"/>
      <c r="F2215" s="165"/>
      <c r="G2215" s="165"/>
      <c r="H2215" s="165"/>
      <c r="I2215" s="165"/>
      <c r="J2215" s="165"/>
      <c r="K2215" s="165"/>
      <c r="L2215" s="165"/>
      <c r="M2215" s="165"/>
      <c r="N2215" s="165"/>
      <c r="O2215" s="166"/>
    </row>
    <row r="2216" ht="1.5" customHeight="1">
      <c r="A2216" s="155"/>
      <c r="B2216" s="156"/>
      <c r="C2216" s="157"/>
      <c r="D2216" s="158"/>
      <c r="E2216" s="159"/>
      <c r="F2216" s="159"/>
      <c r="G2216" s="159"/>
      <c r="H2216" s="159"/>
      <c r="I2216" s="159"/>
      <c r="J2216" s="159"/>
      <c r="K2216" s="159"/>
      <c r="L2216" s="159"/>
      <c r="M2216" s="159"/>
      <c r="N2216" s="159"/>
      <c r="O2216" s="160"/>
    </row>
    <row r="2217" ht="1.5" customHeight="1">
      <c r="A2217" s="161"/>
      <c r="B2217" s="162"/>
      <c r="C2217" s="163"/>
      <c r="D2217" s="164"/>
      <c r="E2217" s="165"/>
      <c r="F2217" s="165"/>
      <c r="G2217" s="165"/>
      <c r="H2217" s="165"/>
      <c r="I2217" s="165"/>
      <c r="J2217" s="165"/>
      <c r="K2217" s="165"/>
      <c r="L2217" s="165"/>
      <c r="M2217" s="165"/>
      <c r="N2217" s="165"/>
      <c r="O2217" s="166"/>
    </row>
    <row r="2218" ht="1.5" customHeight="1">
      <c r="A2218" s="155"/>
      <c r="B2218" s="156"/>
      <c r="C2218" s="157"/>
      <c r="D2218" s="158"/>
      <c r="E2218" s="159"/>
      <c r="F2218" s="159"/>
      <c r="G2218" s="159"/>
      <c r="H2218" s="159"/>
      <c r="I2218" s="159"/>
      <c r="J2218" s="159"/>
      <c r="K2218" s="159"/>
      <c r="L2218" s="159"/>
      <c r="M2218" s="159"/>
      <c r="N2218" s="159"/>
      <c r="O2218" s="160"/>
    </row>
    <row r="2219" ht="1.5" customHeight="1">
      <c r="A2219" s="161"/>
      <c r="B2219" s="162"/>
      <c r="C2219" s="163"/>
      <c r="D2219" s="164"/>
      <c r="E2219" s="165"/>
      <c r="F2219" s="165"/>
      <c r="G2219" s="165"/>
      <c r="H2219" s="165"/>
      <c r="I2219" s="165"/>
      <c r="J2219" s="165"/>
      <c r="K2219" s="165"/>
      <c r="L2219" s="165"/>
      <c r="M2219" s="165"/>
      <c r="N2219" s="165"/>
      <c r="O2219" s="166"/>
    </row>
    <row r="2220" ht="1.5" customHeight="1">
      <c r="A2220" s="155"/>
      <c r="B2220" s="156"/>
      <c r="C2220" s="157"/>
      <c r="D2220" s="158"/>
      <c r="E2220" s="159"/>
      <c r="F2220" s="159"/>
      <c r="G2220" s="159"/>
      <c r="H2220" s="159"/>
      <c r="I2220" s="159"/>
      <c r="J2220" s="159"/>
      <c r="K2220" s="159"/>
      <c r="L2220" s="159"/>
      <c r="M2220" s="159"/>
      <c r="N2220" s="159"/>
      <c r="O2220" s="160"/>
    </row>
    <row r="2221" ht="1.5" customHeight="1">
      <c r="A2221" s="161"/>
      <c r="B2221" s="162"/>
      <c r="C2221" s="163"/>
      <c r="D2221" s="164"/>
      <c r="E2221" s="165"/>
      <c r="F2221" s="165"/>
      <c r="G2221" s="165"/>
      <c r="H2221" s="165"/>
      <c r="I2221" s="165"/>
      <c r="J2221" s="165"/>
      <c r="K2221" s="165"/>
      <c r="L2221" s="165"/>
      <c r="M2221" s="165"/>
      <c r="N2221" s="165"/>
      <c r="O2221" s="166"/>
    </row>
    <row r="2222" ht="1.5" customHeight="1">
      <c r="A2222" s="155"/>
      <c r="B2222" s="156"/>
      <c r="C2222" s="157"/>
      <c r="D2222" s="158"/>
      <c r="E2222" s="159"/>
      <c r="F2222" s="159"/>
      <c r="G2222" s="159"/>
      <c r="H2222" s="159"/>
      <c r="I2222" s="159"/>
      <c r="J2222" s="159"/>
      <c r="K2222" s="159"/>
      <c r="L2222" s="159"/>
      <c r="M2222" s="159"/>
      <c r="N2222" s="159"/>
      <c r="O2222" s="160"/>
    </row>
    <row r="2223" ht="1.5" customHeight="1">
      <c r="A2223" s="161"/>
      <c r="B2223" s="162"/>
      <c r="C2223" s="163"/>
      <c r="D2223" s="164"/>
      <c r="E2223" s="165"/>
      <c r="F2223" s="165"/>
      <c r="G2223" s="165"/>
      <c r="H2223" s="165"/>
      <c r="I2223" s="165"/>
      <c r="J2223" s="165"/>
      <c r="K2223" s="165"/>
      <c r="L2223" s="165"/>
      <c r="M2223" s="165"/>
      <c r="N2223" s="165"/>
      <c r="O2223" s="166"/>
    </row>
    <row r="2224" ht="1.5" customHeight="1">
      <c r="A2224" s="155"/>
      <c r="B2224" s="156"/>
      <c r="C2224" s="157"/>
      <c r="D2224" s="158"/>
      <c r="E2224" s="159"/>
      <c r="F2224" s="159"/>
      <c r="G2224" s="159"/>
      <c r="H2224" s="159"/>
      <c r="I2224" s="159"/>
      <c r="J2224" s="159"/>
      <c r="K2224" s="159"/>
      <c r="L2224" s="159"/>
      <c r="M2224" s="159"/>
      <c r="N2224" s="159"/>
      <c r="O2224" s="160"/>
    </row>
    <row r="2225" ht="1.5" customHeight="1">
      <c r="A2225" s="161"/>
      <c r="B2225" s="162"/>
      <c r="C2225" s="163"/>
      <c r="D2225" s="164"/>
      <c r="E2225" s="165"/>
      <c r="F2225" s="165"/>
      <c r="G2225" s="165"/>
      <c r="H2225" s="165"/>
      <c r="I2225" s="165"/>
      <c r="J2225" s="165"/>
      <c r="K2225" s="165"/>
      <c r="L2225" s="165"/>
      <c r="M2225" s="165"/>
      <c r="N2225" s="165"/>
      <c r="O2225" s="166"/>
    </row>
    <row r="2226" ht="1.5" customHeight="1">
      <c r="A2226" s="155"/>
      <c r="B2226" s="156"/>
      <c r="C2226" s="157"/>
      <c r="D2226" s="158"/>
      <c r="E2226" s="159"/>
      <c r="F2226" s="159"/>
      <c r="G2226" s="159"/>
      <c r="H2226" s="159"/>
      <c r="I2226" s="159"/>
      <c r="J2226" s="159"/>
      <c r="K2226" s="159"/>
      <c r="L2226" s="159"/>
      <c r="M2226" s="159"/>
      <c r="N2226" s="159"/>
      <c r="O2226" s="160"/>
    </row>
    <row r="2227" ht="1.5" customHeight="1">
      <c r="A2227" s="161"/>
      <c r="B2227" s="162"/>
      <c r="C2227" s="163"/>
      <c r="D2227" s="164"/>
      <c r="E2227" s="165"/>
      <c r="F2227" s="165"/>
      <c r="G2227" s="165"/>
      <c r="H2227" s="165"/>
      <c r="I2227" s="165"/>
      <c r="J2227" s="165"/>
      <c r="K2227" s="165"/>
      <c r="L2227" s="165"/>
      <c r="M2227" s="165"/>
      <c r="N2227" s="165"/>
      <c r="O2227" s="166"/>
    </row>
    <row r="2228" ht="1.5" customHeight="1">
      <c r="A2228" s="155"/>
      <c r="B2228" s="156"/>
      <c r="C2228" s="157"/>
      <c r="D2228" s="158"/>
      <c r="E2228" s="159"/>
      <c r="F2228" s="159"/>
      <c r="G2228" s="159"/>
      <c r="H2228" s="159"/>
      <c r="I2228" s="159"/>
      <c r="J2228" s="159"/>
      <c r="K2228" s="159"/>
      <c r="L2228" s="159"/>
      <c r="M2228" s="159"/>
      <c r="N2228" s="159"/>
      <c r="O2228" s="160"/>
    </row>
    <row r="2229" ht="1.5" customHeight="1">
      <c r="A2229" s="161"/>
      <c r="B2229" s="162"/>
      <c r="C2229" s="163"/>
      <c r="D2229" s="164"/>
      <c r="E2229" s="165"/>
      <c r="F2229" s="165"/>
      <c r="G2229" s="165"/>
      <c r="H2229" s="165"/>
      <c r="I2229" s="165"/>
      <c r="J2229" s="165"/>
      <c r="K2229" s="165"/>
      <c r="L2229" s="165"/>
      <c r="M2229" s="165"/>
      <c r="N2229" s="165"/>
      <c r="O2229" s="166"/>
    </row>
    <row r="2230" ht="1.5" customHeight="1">
      <c r="A2230" s="155"/>
      <c r="B2230" s="156"/>
      <c r="C2230" s="157"/>
      <c r="D2230" s="158"/>
      <c r="E2230" s="159"/>
      <c r="F2230" s="159"/>
      <c r="G2230" s="159"/>
      <c r="H2230" s="159"/>
      <c r="I2230" s="159"/>
      <c r="J2230" s="159"/>
      <c r="K2230" s="159"/>
      <c r="L2230" s="159"/>
      <c r="M2230" s="159"/>
      <c r="N2230" s="159"/>
      <c r="O2230" s="160"/>
    </row>
    <row r="2231" ht="1.5" customHeight="1">
      <c r="A2231" s="161"/>
      <c r="B2231" s="162"/>
      <c r="C2231" s="163"/>
      <c r="D2231" s="164"/>
      <c r="E2231" s="165"/>
      <c r="F2231" s="165"/>
      <c r="G2231" s="165"/>
      <c r="H2231" s="165"/>
      <c r="I2231" s="165"/>
      <c r="J2231" s="165"/>
      <c r="K2231" s="165"/>
      <c r="L2231" s="165"/>
      <c r="M2231" s="165"/>
      <c r="N2231" s="165"/>
      <c r="O2231" s="166"/>
    </row>
    <row r="2232" ht="1.5" customHeight="1">
      <c r="A2232" s="155"/>
      <c r="B2232" s="156"/>
      <c r="C2232" s="157"/>
      <c r="D2232" s="158"/>
      <c r="E2232" s="159"/>
      <c r="F2232" s="159"/>
      <c r="G2232" s="159"/>
      <c r="H2232" s="159"/>
      <c r="I2232" s="159"/>
      <c r="J2232" s="159"/>
      <c r="K2232" s="159"/>
      <c r="L2232" s="159"/>
      <c r="M2232" s="159"/>
      <c r="N2232" s="159"/>
      <c r="O2232" s="160"/>
    </row>
    <row r="2233" ht="1.5" customHeight="1">
      <c r="A2233" s="161"/>
      <c r="B2233" s="162"/>
      <c r="C2233" s="163"/>
      <c r="D2233" s="164"/>
      <c r="E2233" s="165"/>
      <c r="F2233" s="165"/>
      <c r="G2233" s="165"/>
      <c r="H2233" s="165"/>
      <c r="I2233" s="165"/>
      <c r="J2233" s="165"/>
      <c r="K2233" s="165"/>
      <c r="L2233" s="165"/>
      <c r="M2233" s="165"/>
      <c r="N2233" s="165"/>
      <c r="O2233" s="166"/>
    </row>
    <row r="2234" ht="1.5" customHeight="1">
      <c r="A2234" s="155"/>
      <c r="B2234" s="156"/>
      <c r="C2234" s="157"/>
      <c r="D2234" s="158"/>
      <c r="E2234" s="159"/>
      <c r="F2234" s="159"/>
      <c r="G2234" s="159"/>
      <c r="H2234" s="159"/>
      <c r="I2234" s="159"/>
      <c r="J2234" s="159"/>
      <c r="K2234" s="159"/>
      <c r="L2234" s="159"/>
      <c r="M2234" s="159"/>
      <c r="N2234" s="159"/>
      <c r="O2234" s="160"/>
    </row>
    <row r="2235" ht="1.5" customHeight="1">
      <c r="A2235" s="161"/>
      <c r="B2235" s="162"/>
      <c r="C2235" s="163"/>
      <c r="D2235" s="164"/>
      <c r="E2235" s="165"/>
      <c r="F2235" s="165"/>
      <c r="G2235" s="165"/>
      <c r="H2235" s="165"/>
      <c r="I2235" s="165"/>
      <c r="J2235" s="165"/>
      <c r="K2235" s="165"/>
      <c r="L2235" s="165"/>
      <c r="M2235" s="165"/>
      <c r="N2235" s="165"/>
      <c r="O2235" s="166"/>
    </row>
    <row r="2236" ht="1.5" customHeight="1">
      <c r="A2236" s="155"/>
      <c r="B2236" s="156"/>
      <c r="C2236" s="157"/>
      <c r="D2236" s="158"/>
      <c r="E2236" s="159"/>
      <c r="F2236" s="159"/>
      <c r="G2236" s="159"/>
      <c r="H2236" s="159"/>
      <c r="I2236" s="159"/>
      <c r="J2236" s="159"/>
      <c r="K2236" s="159"/>
      <c r="L2236" s="159"/>
      <c r="M2236" s="159"/>
      <c r="N2236" s="159"/>
      <c r="O2236" s="160"/>
    </row>
    <row r="2237" ht="1.5" customHeight="1">
      <c r="A2237" s="161"/>
      <c r="B2237" s="162"/>
      <c r="C2237" s="163"/>
      <c r="D2237" s="164"/>
      <c r="E2237" s="165"/>
      <c r="F2237" s="165"/>
      <c r="G2237" s="165"/>
      <c r="H2237" s="165"/>
      <c r="I2237" s="165"/>
      <c r="J2237" s="165"/>
      <c r="K2237" s="165"/>
      <c r="L2237" s="165"/>
      <c r="M2237" s="165"/>
      <c r="N2237" s="165"/>
      <c r="O2237" s="166"/>
    </row>
    <row r="2238" ht="1.5" customHeight="1">
      <c r="A2238" s="155"/>
      <c r="B2238" s="156"/>
      <c r="C2238" s="157"/>
      <c r="D2238" s="158"/>
      <c r="E2238" s="159"/>
      <c r="F2238" s="159"/>
      <c r="G2238" s="159"/>
      <c r="H2238" s="159"/>
      <c r="I2238" s="159"/>
      <c r="J2238" s="159"/>
      <c r="K2238" s="159"/>
      <c r="L2238" s="159"/>
      <c r="M2238" s="159"/>
      <c r="N2238" s="159"/>
      <c r="O2238" s="160"/>
    </row>
    <row r="2239" ht="1.5" customHeight="1">
      <c r="A2239" s="161"/>
      <c r="B2239" s="162"/>
      <c r="C2239" s="163"/>
      <c r="D2239" s="164"/>
      <c r="E2239" s="165"/>
      <c r="F2239" s="165"/>
      <c r="G2239" s="165"/>
      <c r="H2239" s="165"/>
      <c r="I2239" s="165"/>
      <c r="J2239" s="165"/>
      <c r="K2239" s="165"/>
      <c r="L2239" s="165"/>
      <c r="M2239" s="165"/>
      <c r="N2239" s="165"/>
      <c r="O2239" s="166"/>
    </row>
    <row r="2240" ht="1.5" customHeight="1">
      <c r="A2240" s="155"/>
      <c r="B2240" s="156"/>
      <c r="C2240" s="157"/>
      <c r="D2240" s="158"/>
      <c r="E2240" s="159"/>
      <c r="F2240" s="159"/>
      <c r="G2240" s="159"/>
      <c r="H2240" s="159"/>
      <c r="I2240" s="159"/>
      <c r="J2240" s="159"/>
      <c r="K2240" s="159"/>
      <c r="L2240" s="159"/>
      <c r="M2240" s="159"/>
      <c r="N2240" s="159"/>
      <c r="O2240" s="160"/>
    </row>
    <row r="2241" ht="1.5" customHeight="1">
      <c r="A2241" s="161"/>
      <c r="B2241" s="162"/>
      <c r="C2241" s="163"/>
      <c r="D2241" s="164"/>
      <c r="E2241" s="165"/>
      <c r="F2241" s="165"/>
      <c r="G2241" s="165"/>
      <c r="H2241" s="165"/>
      <c r="I2241" s="165"/>
      <c r="J2241" s="165"/>
      <c r="K2241" s="165"/>
      <c r="L2241" s="165"/>
      <c r="M2241" s="165"/>
      <c r="N2241" s="165"/>
      <c r="O2241" s="166"/>
    </row>
    <row r="2242" ht="1.5" customHeight="1">
      <c r="A2242" s="155"/>
      <c r="B2242" s="156"/>
      <c r="C2242" s="157"/>
      <c r="D2242" s="158"/>
      <c r="E2242" s="159"/>
      <c r="F2242" s="159"/>
      <c r="G2242" s="159"/>
      <c r="H2242" s="159"/>
      <c r="I2242" s="159"/>
      <c r="J2242" s="159"/>
      <c r="K2242" s="159"/>
      <c r="L2242" s="159"/>
      <c r="M2242" s="159"/>
      <c r="N2242" s="159"/>
      <c r="O2242" s="160"/>
    </row>
    <row r="2243" ht="1.5" customHeight="1">
      <c r="A2243" s="161"/>
      <c r="B2243" s="162"/>
      <c r="C2243" s="163"/>
      <c r="D2243" s="164"/>
      <c r="E2243" s="165"/>
      <c r="F2243" s="165"/>
      <c r="G2243" s="165"/>
      <c r="H2243" s="165"/>
      <c r="I2243" s="165"/>
      <c r="J2243" s="165"/>
      <c r="K2243" s="165"/>
      <c r="L2243" s="165"/>
      <c r="M2243" s="165"/>
      <c r="N2243" s="165"/>
      <c r="O2243" s="166"/>
    </row>
    <row r="2244" ht="1.5" customHeight="1">
      <c r="A2244" s="155"/>
      <c r="B2244" s="156"/>
      <c r="C2244" s="157"/>
      <c r="D2244" s="158"/>
      <c r="E2244" s="159"/>
      <c r="F2244" s="159"/>
      <c r="G2244" s="159"/>
      <c r="H2244" s="159"/>
      <c r="I2244" s="159"/>
      <c r="J2244" s="159"/>
      <c r="K2244" s="159"/>
      <c r="L2244" s="159"/>
      <c r="M2244" s="159"/>
      <c r="N2244" s="159"/>
      <c r="O2244" s="160"/>
    </row>
    <row r="2245" ht="1.5" customHeight="1">
      <c r="A2245" s="161"/>
      <c r="B2245" s="162"/>
      <c r="C2245" s="163"/>
      <c r="D2245" s="164"/>
      <c r="E2245" s="165"/>
      <c r="F2245" s="165"/>
      <c r="G2245" s="165"/>
      <c r="H2245" s="165"/>
      <c r="I2245" s="165"/>
      <c r="J2245" s="165"/>
      <c r="K2245" s="165"/>
      <c r="L2245" s="165"/>
      <c r="M2245" s="165"/>
      <c r="N2245" s="165"/>
      <c r="O2245" s="166"/>
    </row>
    <row r="2246" ht="1.5" customHeight="1">
      <c r="A2246" s="155"/>
      <c r="B2246" s="156"/>
      <c r="C2246" s="157"/>
      <c r="D2246" s="158"/>
      <c r="E2246" s="159"/>
      <c r="F2246" s="159"/>
      <c r="G2246" s="159"/>
      <c r="H2246" s="159"/>
      <c r="I2246" s="159"/>
      <c r="J2246" s="159"/>
      <c r="K2246" s="159"/>
      <c r="L2246" s="159"/>
      <c r="M2246" s="159"/>
      <c r="N2246" s="159"/>
      <c r="O2246" s="160"/>
    </row>
    <row r="2247" ht="1.5" customHeight="1">
      <c r="A2247" s="161"/>
      <c r="B2247" s="162"/>
      <c r="C2247" s="163"/>
      <c r="D2247" s="164"/>
      <c r="E2247" s="165"/>
      <c r="F2247" s="165"/>
      <c r="G2247" s="165"/>
      <c r="H2247" s="165"/>
      <c r="I2247" s="165"/>
      <c r="J2247" s="165"/>
      <c r="K2247" s="165"/>
      <c r="L2247" s="165"/>
      <c r="M2247" s="165"/>
      <c r="N2247" s="165"/>
      <c r="O2247" s="166"/>
    </row>
    <row r="2248" ht="1.5" customHeight="1">
      <c r="A2248" s="155"/>
      <c r="B2248" s="156"/>
      <c r="C2248" s="157"/>
      <c r="D2248" s="158"/>
      <c r="E2248" s="159"/>
      <c r="F2248" s="159"/>
      <c r="G2248" s="159"/>
      <c r="H2248" s="159"/>
      <c r="I2248" s="159"/>
      <c r="J2248" s="159"/>
      <c r="K2248" s="159"/>
      <c r="L2248" s="159"/>
      <c r="M2248" s="159"/>
      <c r="N2248" s="159"/>
      <c r="O2248" s="160"/>
    </row>
    <row r="2249" ht="1.5" customHeight="1">
      <c r="A2249" s="161"/>
      <c r="B2249" s="162"/>
      <c r="C2249" s="163"/>
      <c r="D2249" s="164"/>
      <c r="E2249" s="165"/>
      <c r="F2249" s="165"/>
      <c r="G2249" s="165"/>
      <c r="H2249" s="165"/>
      <c r="I2249" s="165"/>
      <c r="J2249" s="165"/>
      <c r="K2249" s="165"/>
      <c r="L2249" s="165"/>
      <c r="M2249" s="165"/>
      <c r="N2249" s="165"/>
      <c r="O2249" s="166"/>
    </row>
    <row r="2250" ht="1.5" customHeight="1">
      <c r="A2250" s="155"/>
      <c r="B2250" s="156"/>
      <c r="C2250" s="157"/>
      <c r="D2250" s="158"/>
      <c r="E2250" s="159"/>
      <c r="F2250" s="159"/>
      <c r="G2250" s="159"/>
      <c r="H2250" s="159"/>
      <c r="I2250" s="159"/>
      <c r="J2250" s="159"/>
      <c r="K2250" s="159"/>
      <c r="L2250" s="159"/>
      <c r="M2250" s="159"/>
      <c r="N2250" s="159"/>
      <c r="O2250" s="160"/>
    </row>
    <row r="2251" ht="1.5" customHeight="1">
      <c r="A2251" s="161"/>
      <c r="B2251" s="162"/>
      <c r="C2251" s="163"/>
      <c r="D2251" s="164"/>
      <c r="E2251" s="165"/>
      <c r="F2251" s="165"/>
      <c r="G2251" s="165"/>
      <c r="H2251" s="165"/>
      <c r="I2251" s="165"/>
      <c r="J2251" s="165"/>
      <c r="K2251" s="165"/>
      <c r="L2251" s="165"/>
      <c r="M2251" s="165"/>
      <c r="N2251" s="165"/>
      <c r="O2251" s="166"/>
    </row>
  </sheetData>
  <autoFilter ref="$E$3:$E$250"/>
  <mergeCells count="2">
    <mergeCell ref="B1:O2"/>
    <mergeCell ref="F3:N3"/>
  </mergeCells>
  <dataValidations>
    <dataValidation type="list" allowBlank="1" showErrorMessage="1" sqref="C4:C2251">
      <formula1>setup!$B$3:$B$39</formula1>
    </dataValidation>
    <dataValidation type="list" allowBlank="1" showErrorMessage="1" sqref="E4:E2251">
      <formula1>setup!$A$3:$A$23</formula1>
    </dataValidation>
    <dataValidation type="list" allowBlank="1" showErrorMessage="1" sqref="F4:N2251">
      <formula1>setup!$C$3:$C$23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2.75"/>
    <col customWidth="1" min="3" max="3" width="22.38"/>
    <col customWidth="1" min="4" max="4" width="21.63"/>
    <col customWidth="1" min="5" max="5" width="15.5"/>
    <col customWidth="1" min="6" max="6" width="29.13"/>
    <col customWidth="1" min="7" max="7" width="17.38"/>
  </cols>
  <sheetData>
    <row r="1">
      <c r="A1" s="167"/>
      <c r="B1" s="167"/>
      <c r="C1" s="168"/>
      <c r="D1" s="168"/>
      <c r="E1" s="168"/>
      <c r="F1" s="168"/>
      <c r="G1" s="169"/>
    </row>
    <row r="2">
      <c r="A2" s="170" t="s">
        <v>338</v>
      </c>
      <c r="B2" s="171"/>
      <c r="C2" s="171"/>
      <c r="D2" s="171"/>
      <c r="E2" s="171"/>
      <c r="F2" s="171"/>
      <c r="G2" s="171"/>
    </row>
    <row r="3">
      <c r="A3" s="172" t="s">
        <v>339</v>
      </c>
    </row>
    <row r="4" ht="6.0" customHeight="1"/>
    <row r="5" ht="22.5" customHeight="1">
      <c r="A5" s="173" t="s">
        <v>38</v>
      </c>
      <c r="B5" s="174" t="s">
        <v>340</v>
      </c>
      <c r="C5" s="174" t="s">
        <v>341</v>
      </c>
      <c r="D5" s="174" t="s">
        <v>8</v>
      </c>
      <c r="E5" s="174" t="s">
        <v>342</v>
      </c>
      <c r="F5" s="174" t="s">
        <v>343</v>
      </c>
      <c r="G5" s="175" t="s">
        <v>43</v>
      </c>
    </row>
    <row r="6">
      <c r="A6" s="176"/>
      <c r="B6" s="177" t="s">
        <v>344</v>
      </c>
      <c r="C6" s="177"/>
      <c r="D6" s="177" t="s">
        <v>23</v>
      </c>
      <c r="E6" s="178"/>
      <c r="F6" s="178"/>
      <c r="G6" s="179"/>
    </row>
    <row r="7">
      <c r="A7" s="180"/>
      <c r="B7" s="178"/>
      <c r="C7" s="177"/>
      <c r="D7" s="178"/>
      <c r="E7" s="178"/>
      <c r="F7" s="178"/>
      <c r="G7" s="179"/>
    </row>
    <row r="8">
      <c r="A8" s="180"/>
      <c r="B8" s="178"/>
      <c r="C8" s="177"/>
      <c r="D8" s="178"/>
      <c r="E8" s="178"/>
      <c r="F8" s="178"/>
      <c r="G8" s="179"/>
    </row>
    <row r="9">
      <c r="A9" s="180"/>
      <c r="B9" s="178"/>
      <c r="C9" s="177"/>
      <c r="D9" s="178"/>
      <c r="E9" s="178"/>
      <c r="F9" s="178"/>
      <c r="G9" s="179"/>
    </row>
    <row r="10">
      <c r="A10" s="180"/>
      <c r="B10" s="178"/>
      <c r="C10" s="177"/>
      <c r="D10" s="178"/>
      <c r="E10" s="178"/>
      <c r="F10" s="178"/>
      <c r="G10" s="179"/>
    </row>
    <row r="11">
      <c r="A11" s="180"/>
      <c r="B11" s="178"/>
      <c r="C11" s="177"/>
      <c r="D11" s="178"/>
      <c r="E11" s="181"/>
      <c r="F11" s="181"/>
      <c r="G11" s="182"/>
    </row>
    <row r="12">
      <c r="A12" s="180"/>
      <c r="B12" s="178"/>
      <c r="C12" s="177"/>
      <c r="D12" s="178"/>
      <c r="E12" s="181"/>
      <c r="F12" s="181"/>
      <c r="G12" s="182"/>
    </row>
    <row r="13">
      <c r="A13" s="180"/>
      <c r="B13" s="178"/>
      <c r="C13" s="177"/>
      <c r="D13" s="178"/>
      <c r="E13" s="181"/>
      <c r="F13" s="181"/>
      <c r="G13" s="182"/>
    </row>
    <row r="14" ht="24.0" customHeight="1">
      <c r="A14" s="183" t="s">
        <v>38</v>
      </c>
      <c r="B14" s="184" t="s">
        <v>345</v>
      </c>
      <c r="C14" s="184" t="s">
        <v>341</v>
      </c>
      <c r="D14" s="184" t="s">
        <v>8</v>
      </c>
      <c r="E14" s="184" t="s">
        <v>342</v>
      </c>
      <c r="F14" s="184" t="s">
        <v>343</v>
      </c>
      <c r="G14" s="185" t="s">
        <v>43</v>
      </c>
    </row>
    <row r="15">
      <c r="A15" s="176"/>
      <c r="B15" s="177" t="s">
        <v>344</v>
      </c>
      <c r="C15" s="177"/>
      <c r="D15" s="178"/>
      <c r="E15" s="178"/>
      <c r="F15" s="178"/>
      <c r="G15" s="179"/>
    </row>
    <row r="16">
      <c r="A16" s="180"/>
      <c r="B16" s="178"/>
      <c r="C16" s="177"/>
      <c r="D16" s="178"/>
      <c r="E16" s="178"/>
      <c r="F16" s="178"/>
      <c r="G16" s="179"/>
    </row>
    <row r="17">
      <c r="A17" s="180"/>
      <c r="B17" s="178"/>
      <c r="C17" s="177"/>
      <c r="D17" s="178"/>
      <c r="E17" s="178"/>
      <c r="F17" s="178"/>
      <c r="G17" s="179"/>
    </row>
    <row r="18">
      <c r="A18" s="180"/>
      <c r="B18" s="178"/>
      <c r="C18" s="177"/>
      <c r="D18" s="178"/>
      <c r="E18" s="178"/>
      <c r="F18" s="178"/>
      <c r="G18" s="179"/>
    </row>
    <row r="19">
      <c r="A19" s="180"/>
      <c r="B19" s="178"/>
      <c r="C19" s="177"/>
      <c r="D19" s="178"/>
      <c r="E19" s="178"/>
      <c r="F19" s="178"/>
      <c r="G19" s="179"/>
    </row>
    <row r="20">
      <c r="A20" s="180"/>
      <c r="B20" s="178"/>
      <c r="C20" s="177"/>
      <c r="D20" s="178"/>
      <c r="E20" s="181"/>
      <c r="F20" s="181"/>
      <c r="G20" s="182"/>
    </row>
    <row r="21">
      <c r="A21" s="180"/>
      <c r="B21" s="178"/>
      <c r="C21" s="177"/>
      <c r="D21" s="178"/>
      <c r="E21" s="181"/>
      <c r="F21" s="181"/>
      <c r="G21" s="182"/>
    </row>
    <row r="22">
      <c r="A22" s="180"/>
      <c r="B22" s="178"/>
      <c r="C22" s="177"/>
      <c r="D22" s="178"/>
      <c r="E22" s="181"/>
      <c r="F22" s="181"/>
      <c r="G22" s="182"/>
    </row>
    <row r="23" ht="21.0" customHeight="1">
      <c r="A23" s="183" t="s">
        <v>38</v>
      </c>
      <c r="B23" s="184" t="s">
        <v>346</v>
      </c>
      <c r="C23" s="184" t="s">
        <v>341</v>
      </c>
      <c r="D23" s="184" t="s">
        <v>8</v>
      </c>
      <c r="E23" s="184" t="s">
        <v>342</v>
      </c>
      <c r="F23" s="184" t="s">
        <v>343</v>
      </c>
      <c r="G23" s="185" t="s">
        <v>43</v>
      </c>
    </row>
    <row r="24">
      <c r="A24" s="176"/>
      <c r="B24" s="177" t="s">
        <v>344</v>
      </c>
      <c r="C24" s="177" t="s">
        <v>347</v>
      </c>
      <c r="D24" s="178"/>
      <c r="E24" s="178"/>
      <c r="F24" s="178"/>
      <c r="G24" s="179"/>
    </row>
    <row r="25">
      <c r="A25" s="180"/>
      <c r="B25" s="178"/>
      <c r="C25" s="177"/>
      <c r="D25" s="178"/>
      <c r="E25" s="178"/>
      <c r="F25" s="178"/>
      <c r="G25" s="179"/>
    </row>
    <row r="26">
      <c r="A26" s="180"/>
      <c r="B26" s="178"/>
      <c r="C26" s="177"/>
      <c r="D26" s="178"/>
      <c r="E26" s="178"/>
      <c r="F26" s="178"/>
      <c r="G26" s="179"/>
    </row>
    <row r="27">
      <c r="A27" s="180"/>
      <c r="B27" s="178"/>
      <c r="C27" s="177"/>
      <c r="D27" s="178"/>
      <c r="E27" s="178"/>
      <c r="F27" s="178"/>
      <c r="G27" s="179"/>
    </row>
    <row r="28">
      <c r="A28" s="180"/>
      <c r="B28" s="178"/>
      <c r="C28" s="177"/>
      <c r="D28" s="178"/>
      <c r="E28" s="178"/>
      <c r="F28" s="178"/>
      <c r="G28" s="179"/>
    </row>
    <row r="29">
      <c r="A29" s="180"/>
      <c r="B29" s="178"/>
      <c r="C29" s="177"/>
      <c r="D29" s="178"/>
      <c r="E29" s="181"/>
      <c r="F29" s="181"/>
      <c r="G29" s="182"/>
    </row>
    <row r="30">
      <c r="A30" s="180"/>
      <c r="B30" s="178"/>
      <c r="C30" s="177"/>
      <c r="D30" s="178"/>
      <c r="E30" s="181"/>
      <c r="F30" s="181"/>
      <c r="G30" s="182"/>
    </row>
    <row r="31">
      <c r="A31" s="180"/>
      <c r="B31" s="178"/>
      <c r="C31" s="177"/>
      <c r="D31" s="178"/>
      <c r="E31" s="181"/>
      <c r="F31" s="181"/>
      <c r="G31" s="182"/>
    </row>
    <row r="32" ht="21.0" customHeight="1">
      <c r="A32" s="183" t="s">
        <v>38</v>
      </c>
      <c r="B32" s="184" t="s">
        <v>348</v>
      </c>
      <c r="C32" s="184" t="s">
        <v>341</v>
      </c>
      <c r="D32" s="184" t="s">
        <v>8</v>
      </c>
      <c r="E32" s="184" t="s">
        <v>342</v>
      </c>
      <c r="F32" s="184" t="s">
        <v>343</v>
      </c>
      <c r="G32" s="185" t="s">
        <v>43</v>
      </c>
    </row>
    <row r="33">
      <c r="A33" s="176"/>
      <c r="B33" s="177" t="s">
        <v>344</v>
      </c>
      <c r="C33" s="177"/>
      <c r="D33" s="178"/>
      <c r="E33" s="178"/>
      <c r="F33" s="178"/>
      <c r="G33" s="179"/>
    </row>
    <row r="34">
      <c r="A34" s="180"/>
      <c r="B34" s="178"/>
      <c r="C34" s="177"/>
      <c r="D34" s="178"/>
      <c r="E34" s="178"/>
      <c r="F34" s="178"/>
      <c r="G34" s="179"/>
    </row>
    <row r="35">
      <c r="A35" s="180"/>
      <c r="B35" s="178"/>
      <c r="C35" s="177"/>
      <c r="D35" s="178"/>
      <c r="E35" s="178"/>
      <c r="F35" s="178"/>
      <c r="G35" s="179"/>
    </row>
    <row r="36">
      <c r="A36" s="180"/>
      <c r="B36" s="178"/>
      <c r="C36" s="177"/>
      <c r="D36" s="178"/>
      <c r="E36" s="178"/>
      <c r="F36" s="178"/>
      <c r="G36" s="179"/>
    </row>
    <row r="37">
      <c r="A37" s="180"/>
      <c r="B37" s="178"/>
      <c r="C37" s="177"/>
      <c r="D37" s="178"/>
      <c r="E37" s="178"/>
      <c r="F37" s="178"/>
      <c r="G37" s="179"/>
    </row>
    <row r="38">
      <c r="A38" s="180"/>
      <c r="B38" s="178"/>
      <c r="C38" s="177"/>
      <c r="D38" s="178"/>
      <c r="E38" s="181"/>
      <c r="F38" s="181"/>
      <c r="G38" s="182"/>
    </row>
    <row r="39">
      <c r="A39" s="180"/>
      <c r="B39" s="178"/>
      <c r="C39" s="177"/>
      <c r="D39" s="178"/>
      <c r="E39" s="181"/>
      <c r="F39" s="181"/>
      <c r="G39" s="182"/>
    </row>
    <row r="40">
      <c r="A40" s="180"/>
      <c r="B40" s="178"/>
      <c r="C40" s="177"/>
      <c r="D40" s="178"/>
      <c r="E40" s="181"/>
      <c r="F40" s="181"/>
      <c r="G40" s="182"/>
    </row>
    <row r="41" ht="21.0" customHeight="1">
      <c r="A41" s="183" t="s">
        <v>38</v>
      </c>
      <c r="B41" s="184" t="s">
        <v>349</v>
      </c>
      <c r="C41" s="184" t="s">
        <v>341</v>
      </c>
      <c r="D41" s="184" t="s">
        <v>8</v>
      </c>
      <c r="E41" s="184" t="s">
        <v>342</v>
      </c>
      <c r="F41" s="184" t="s">
        <v>343</v>
      </c>
      <c r="G41" s="185" t="s">
        <v>43</v>
      </c>
    </row>
    <row r="42">
      <c r="A42" s="176"/>
      <c r="B42" s="177" t="s">
        <v>344</v>
      </c>
      <c r="C42" s="177"/>
      <c r="D42" s="178"/>
      <c r="E42" s="178"/>
      <c r="F42" s="178"/>
      <c r="G42" s="179"/>
    </row>
    <row r="43">
      <c r="A43" s="180"/>
      <c r="B43" s="178"/>
      <c r="C43" s="177"/>
      <c r="D43" s="178"/>
      <c r="E43" s="178"/>
      <c r="F43" s="178"/>
      <c r="G43" s="179"/>
    </row>
    <row r="44">
      <c r="A44" s="180"/>
      <c r="B44" s="178"/>
      <c r="C44" s="177"/>
      <c r="D44" s="178"/>
      <c r="E44" s="178"/>
      <c r="F44" s="178"/>
      <c r="G44" s="179"/>
    </row>
    <row r="45">
      <c r="A45" s="180"/>
      <c r="B45" s="178"/>
      <c r="C45" s="177"/>
      <c r="D45" s="178"/>
      <c r="E45" s="178"/>
      <c r="F45" s="178"/>
      <c r="G45" s="179"/>
    </row>
    <row r="46">
      <c r="A46" s="180"/>
      <c r="B46" s="178"/>
      <c r="C46" s="177"/>
      <c r="D46" s="178"/>
      <c r="E46" s="178"/>
      <c r="F46" s="178"/>
      <c r="G46" s="179"/>
    </row>
    <row r="47">
      <c r="A47" s="180"/>
      <c r="B47" s="178"/>
      <c r="C47" s="177"/>
      <c r="D47" s="178"/>
      <c r="E47" s="181"/>
      <c r="F47" s="181"/>
      <c r="G47" s="182"/>
    </row>
    <row r="48">
      <c r="A48" s="180"/>
      <c r="B48" s="178"/>
      <c r="C48" s="177"/>
      <c r="D48" s="178"/>
      <c r="E48" s="181"/>
      <c r="F48" s="181"/>
      <c r="G48" s="182"/>
    </row>
    <row r="49">
      <c r="A49" s="180"/>
      <c r="B49" s="178"/>
      <c r="C49" s="177"/>
      <c r="D49" s="178"/>
      <c r="E49" s="181"/>
      <c r="F49" s="181"/>
      <c r="G49" s="182"/>
    </row>
    <row r="50">
      <c r="A50" s="183" t="s">
        <v>38</v>
      </c>
      <c r="B50" s="186" t="s">
        <v>350</v>
      </c>
      <c r="C50" s="186" t="s">
        <v>341</v>
      </c>
      <c r="D50" s="186" t="s">
        <v>8</v>
      </c>
      <c r="E50" s="186" t="s">
        <v>342</v>
      </c>
      <c r="F50" s="186" t="s">
        <v>343</v>
      </c>
      <c r="G50" s="187" t="s">
        <v>43</v>
      </c>
    </row>
    <row r="51">
      <c r="A51" s="176"/>
      <c r="B51" s="177" t="s">
        <v>344</v>
      </c>
      <c r="C51" s="177"/>
      <c r="D51" s="178"/>
      <c r="E51" s="178"/>
      <c r="F51" s="178"/>
      <c r="G51" s="179"/>
    </row>
    <row r="52">
      <c r="A52" s="180"/>
      <c r="B52" s="178"/>
      <c r="C52" s="177"/>
      <c r="D52" s="178"/>
      <c r="E52" s="178"/>
      <c r="F52" s="178"/>
      <c r="G52" s="179"/>
    </row>
    <row r="53">
      <c r="A53" s="180"/>
      <c r="B53" s="178"/>
      <c r="C53" s="177"/>
      <c r="D53" s="178"/>
      <c r="E53" s="178"/>
      <c r="F53" s="178"/>
      <c r="G53" s="179"/>
    </row>
    <row r="54">
      <c r="A54" s="180"/>
      <c r="B54" s="178"/>
      <c r="C54" s="177"/>
      <c r="D54" s="178"/>
      <c r="E54" s="178"/>
      <c r="F54" s="178"/>
      <c r="G54" s="179"/>
    </row>
    <row r="55">
      <c r="A55" s="180"/>
      <c r="B55" s="178"/>
      <c r="C55" s="177"/>
      <c r="D55" s="178"/>
      <c r="E55" s="178"/>
      <c r="F55" s="178"/>
      <c r="G55" s="179"/>
    </row>
    <row r="56">
      <c r="A56" s="180"/>
      <c r="B56" s="178"/>
      <c r="C56" s="177"/>
      <c r="D56" s="178"/>
      <c r="E56" s="181"/>
      <c r="F56" s="181"/>
      <c r="G56" s="182"/>
    </row>
    <row r="57">
      <c r="A57" s="180"/>
      <c r="B57" s="178"/>
      <c r="C57" s="177"/>
      <c r="D57" s="178"/>
      <c r="E57" s="181"/>
      <c r="F57" s="181"/>
      <c r="G57" s="182"/>
    </row>
    <row r="58">
      <c r="A58" s="180"/>
      <c r="B58" s="178"/>
      <c r="C58" s="177"/>
      <c r="D58" s="178"/>
      <c r="E58" s="181"/>
      <c r="F58" s="181"/>
      <c r="G58" s="182"/>
    </row>
    <row r="59" ht="21.0" customHeight="1">
      <c r="A59" s="183" t="s">
        <v>38</v>
      </c>
      <c r="B59" s="184" t="s">
        <v>34</v>
      </c>
      <c r="C59" s="184" t="s">
        <v>341</v>
      </c>
      <c r="D59" s="184" t="s">
        <v>8</v>
      </c>
      <c r="E59" s="184" t="s">
        <v>342</v>
      </c>
      <c r="F59" s="184" t="s">
        <v>343</v>
      </c>
      <c r="G59" s="185" t="s">
        <v>43</v>
      </c>
    </row>
    <row r="60">
      <c r="A60" s="176"/>
      <c r="B60" s="177" t="s">
        <v>344</v>
      </c>
      <c r="C60" s="177"/>
      <c r="D60" s="178"/>
      <c r="E60" s="178"/>
      <c r="F60" s="178"/>
      <c r="G60" s="179"/>
    </row>
    <row r="61">
      <c r="A61" s="180"/>
      <c r="B61" s="178"/>
      <c r="C61" s="177"/>
      <c r="D61" s="178"/>
      <c r="E61" s="178"/>
      <c r="F61" s="178"/>
      <c r="G61" s="179"/>
    </row>
    <row r="62">
      <c r="A62" s="180"/>
      <c r="B62" s="178"/>
      <c r="C62" s="177"/>
      <c r="D62" s="178"/>
      <c r="E62" s="178"/>
      <c r="F62" s="178"/>
      <c r="G62" s="179"/>
    </row>
    <row r="63">
      <c r="A63" s="180"/>
      <c r="B63" s="178"/>
      <c r="C63" s="177"/>
      <c r="D63" s="178"/>
      <c r="E63" s="178"/>
      <c r="F63" s="178"/>
      <c r="G63" s="179"/>
    </row>
    <row r="64">
      <c r="A64" s="180"/>
      <c r="B64" s="178"/>
      <c r="C64" s="177"/>
      <c r="D64" s="178"/>
      <c r="E64" s="178"/>
      <c r="F64" s="178"/>
      <c r="G64" s="179"/>
    </row>
    <row r="65">
      <c r="A65" s="180"/>
      <c r="B65" s="178"/>
      <c r="C65" s="177"/>
      <c r="D65" s="178"/>
      <c r="E65" s="181"/>
      <c r="F65" s="181"/>
      <c r="G65" s="182"/>
    </row>
    <row r="66">
      <c r="A66" s="180"/>
      <c r="B66" s="178"/>
      <c r="C66" s="177"/>
      <c r="D66" s="178"/>
      <c r="E66" s="181"/>
      <c r="F66" s="181"/>
      <c r="G66" s="182"/>
    </row>
    <row r="67">
      <c r="A67" s="180"/>
      <c r="B67" s="178"/>
      <c r="C67" s="177"/>
      <c r="D67" s="178"/>
      <c r="E67" s="181"/>
      <c r="F67" s="181"/>
      <c r="G67" s="182"/>
    </row>
    <row r="68" ht="21.0" customHeight="1">
      <c r="A68" s="183" t="s">
        <v>38</v>
      </c>
      <c r="B68" s="184" t="s">
        <v>351</v>
      </c>
      <c r="C68" s="184" t="s">
        <v>341</v>
      </c>
      <c r="D68" s="184" t="s">
        <v>8</v>
      </c>
      <c r="E68" s="184" t="s">
        <v>342</v>
      </c>
      <c r="F68" s="184" t="s">
        <v>343</v>
      </c>
      <c r="G68" s="185" t="s">
        <v>43</v>
      </c>
    </row>
    <row r="69">
      <c r="A69" s="176"/>
      <c r="B69" s="177" t="s">
        <v>344</v>
      </c>
      <c r="C69" s="177"/>
      <c r="D69" s="178"/>
      <c r="E69" s="178"/>
      <c r="F69" s="178"/>
      <c r="G69" s="179"/>
    </row>
    <row r="70">
      <c r="A70" s="180"/>
      <c r="B70" s="178"/>
      <c r="C70" s="177"/>
      <c r="D70" s="178"/>
      <c r="E70" s="178"/>
      <c r="F70" s="178"/>
      <c r="G70" s="179"/>
    </row>
    <row r="71">
      <c r="A71" s="180"/>
      <c r="B71" s="178"/>
      <c r="C71" s="177"/>
      <c r="D71" s="178"/>
      <c r="E71" s="178"/>
      <c r="F71" s="178"/>
      <c r="G71" s="179"/>
    </row>
    <row r="72">
      <c r="A72" s="180"/>
      <c r="B72" s="178"/>
      <c r="C72" s="177"/>
      <c r="D72" s="178"/>
      <c r="E72" s="178"/>
      <c r="F72" s="178"/>
      <c r="G72" s="179"/>
    </row>
    <row r="73">
      <c r="A73" s="180"/>
      <c r="B73" s="178"/>
      <c r="C73" s="177"/>
      <c r="D73" s="178"/>
      <c r="E73" s="178"/>
      <c r="F73" s="178"/>
      <c r="G73" s="179"/>
    </row>
    <row r="74">
      <c r="A74" s="180"/>
      <c r="B74" s="178"/>
      <c r="C74" s="177"/>
      <c r="D74" s="178"/>
      <c r="E74" s="181"/>
      <c r="F74" s="181"/>
      <c r="G74" s="182"/>
    </row>
    <row r="75">
      <c r="A75" s="180"/>
      <c r="B75" s="178"/>
      <c r="C75" s="177"/>
      <c r="D75" s="178"/>
      <c r="E75" s="181"/>
      <c r="F75" s="181"/>
      <c r="G75" s="182"/>
    </row>
    <row r="76">
      <c r="A76" s="180"/>
      <c r="B76" s="178"/>
      <c r="C76" s="177"/>
      <c r="D76" s="178"/>
      <c r="E76" s="181"/>
      <c r="F76" s="181"/>
      <c r="G76" s="182"/>
    </row>
    <row r="77" ht="21.0" customHeight="1">
      <c r="A77" s="183" t="s">
        <v>38</v>
      </c>
      <c r="B77" s="184" t="s">
        <v>352</v>
      </c>
      <c r="C77" s="184" t="s">
        <v>341</v>
      </c>
      <c r="D77" s="184" t="s">
        <v>8</v>
      </c>
      <c r="E77" s="184" t="s">
        <v>342</v>
      </c>
      <c r="F77" s="184" t="s">
        <v>343</v>
      </c>
      <c r="G77" s="185" t="s">
        <v>43</v>
      </c>
    </row>
    <row r="78">
      <c r="A78" s="176"/>
      <c r="B78" s="177" t="s">
        <v>344</v>
      </c>
      <c r="C78" s="177"/>
      <c r="D78" s="178"/>
      <c r="E78" s="178"/>
      <c r="F78" s="178"/>
      <c r="G78" s="179"/>
    </row>
    <row r="79">
      <c r="A79" s="180"/>
      <c r="B79" s="178"/>
      <c r="C79" s="177"/>
      <c r="D79" s="178"/>
      <c r="E79" s="178"/>
      <c r="F79" s="178"/>
      <c r="G79" s="179"/>
    </row>
    <row r="80">
      <c r="A80" s="180"/>
      <c r="B80" s="178"/>
      <c r="C80" s="177"/>
      <c r="D80" s="178"/>
      <c r="E80" s="178"/>
      <c r="F80" s="178"/>
      <c r="G80" s="179"/>
    </row>
    <row r="81">
      <c r="A81" s="180"/>
      <c r="B81" s="178"/>
      <c r="C81" s="177"/>
      <c r="D81" s="178"/>
      <c r="E81" s="178"/>
      <c r="F81" s="178"/>
      <c r="G81" s="179"/>
    </row>
    <row r="82">
      <c r="A82" s="180"/>
      <c r="B82" s="178"/>
      <c r="C82" s="177"/>
      <c r="D82" s="178"/>
      <c r="E82" s="178"/>
      <c r="F82" s="178"/>
      <c r="G82" s="179"/>
    </row>
    <row r="83">
      <c r="A83" s="180"/>
      <c r="B83" s="178"/>
      <c r="C83" s="177"/>
      <c r="D83" s="178"/>
      <c r="E83" s="181"/>
      <c r="F83" s="181"/>
      <c r="G83" s="182"/>
    </row>
    <row r="84">
      <c r="A84" s="180"/>
      <c r="B84" s="178"/>
      <c r="C84" s="177"/>
      <c r="D84" s="178"/>
      <c r="E84" s="181"/>
      <c r="F84" s="181"/>
      <c r="G84" s="182"/>
    </row>
    <row r="85">
      <c r="A85" s="180"/>
      <c r="B85" s="178"/>
      <c r="C85" s="177"/>
      <c r="D85" s="178"/>
      <c r="E85" s="181"/>
      <c r="F85" s="181"/>
      <c r="G85" s="182"/>
    </row>
    <row r="86" ht="21.0" customHeight="1">
      <c r="A86" s="183" t="s">
        <v>38</v>
      </c>
      <c r="B86" s="184" t="s">
        <v>24</v>
      </c>
      <c r="C86" s="184" t="s">
        <v>341</v>
      </c>
      <c r="D86" s="184" t="s">
        <v>8</v>
      </c>
      <c r="E86" s="184" t="s">
        <v>342</v>
      </c>
      <c r="F86" s="184" t="s">
        <v>343</v>
      </c>
      <c r="G86" s="185" t="s">
        <v>43</v>
      </c>
    </row>
    <row r="87">
      <c r="A87" s="176"/>
      <c r="B87" s="177" t="s">
        <v>344</v>
      </c>
      <c r="C87" s="177"/>
      <c r="D87" s="178"/>
      <c r="E87" s="178"/>
      <c r="F87" s="178"/>
      <c r="G87" s="179"/>
    </row>
    <row r="88">
      <c r="A88" s="180"/>
      <c r="B88" s="178"/>
      <c r="C88" s="177"/>
      <c r="D88" s="178"/>
      <c r="E88" s="178"/>
      <c r="F88" s="178"/>
      <c r="G88" s="179"/>
    </row>
    <row r="89">
      <c r="A89" s="180"/>
      <c r="B89" s="178"/>
      <c r="C89" s="177"/>
      <c r="D89" s="178"/>
      <c r="E89" s="178"/>
      <c r="F89" s="178"/>
      <c r="G89" s="179"/>
    </row>
    <row r="90">
      <c r="A90" s="180"/>
      <c r="B90" s="178"/>
      <c r="C90" s="177"/>
      <c r="D90" s="178"/>
      <c r="E90" s="178"/>
      <c r="F90" s="178"/>
      <c r="G90" s="179"/>
    </row>
    <row r="91">
      <c r="A91" s="180"/>
      <c r="B91" s="178"/>
      <c r="C91" s="177"/>
      <c r="D91" s="178"/>
      <c r="E91" s="178"/>
      <c r="F91" s="178"/>
      <c r="G91" s="179"/>
    </row>
    <row r="92">
      <c r="A92" s="180"/>
      <c r="B92" s="178"/>
      <c r="C92" s="177"/>
      <c r="D92" s="178"/>
      <c r="E92" s="181"/>
      <c r="F92" s="181"/>
      <c r="G92" s="182"/>
    </row>
    <row r="93">
      <c r="A93" s="180"/>
      <c r="B93" s="178"/>
      <c r="C93" s="177"/>
      <c r="D93" s="178"/>
      <c r="E93" s="181"/>
      <c r="F93" s="181"/>
      <c r="G93" s="182"/>
    </row>
    <row r="94">
      <c r="A94" s="180"/>
      <c r="B94" s="178"/>
      <c r="C94" s="177"/>
      <c r="D94" s="178"/>
      <c r="E94" s="181"/>
      <c r="F94" s="181"/>
      <c r="G94" s="182"/>
    </row>
    <row r="95" ht="21.0" customHeight="1">
      <c r="A95" s="183" t="s">
        <v>38</v>
      </c>
      <c r="B95" s="184" t="s">
        <v>353</v>
      </c>
      <c r="C95" s="184" t="s">
        <v>341</v>
      </c>
      <c r="D95" s="184" t="s">
        <v>8</v>
      </c>
      <c r="E95" s="184" t="s">
        <v>342</v>
      </c>
      <c r="F95" s="184" t="s">
        <v>343</v>
      </c>
      <c r="G95" s="185" t="s">
        <v>43</v>
      </c>
    </row>
    <row r="96">
      <c r="A96" s="176"/>
      <c r="B96" s="177" t="s">
        <v>344</v>
      </c>
      <c r="C96" s="177"/>
      <c r="D96" s="178"/>
      <c r="E96" s="178"/>
      <c r="F96" s="178"/>
      <c r="G96" s="179"/>
    </row>
    <row r="97">
      <c r="A97" s="180"/>
      <c r="B97" s="178"/>
      <c r="C97" s="177"/>
      <c r="D97" s="178"/>
      <c r="E97" s="178"/>
      <c r="F97" s="178"/>
      <c r="G97" s="179"/>
    </row>
    <row r="98">
      <c r="A98" s="180"/>
      <c r="B98" s="178"/>
      <c r="C98" s="177"/>
      <c r="D98" s="178"/>
      <c r="E98" s="178"/>
      <c r="F98" s="178"/>
      <c r="G98" s="179"/>
    </row>
    <row r="99">
      <c r="A99" s="180"/>
      <c r="B99" s="178"/>
      <c r="C99" s="177"/>
      <c r="D99" s="178"/>
      <c r="E99" s="178"/>
      <c r="F99" s="178"/>
      <c r="G99" s="179"/>
    </row>
    <row r="100">
      <c r="A100" s="180"/>
      <c r="B100" s="178"/>
      <c r="C100" s="177"/>
      <c r="D100" s="178"/>
      <c r="E100" s="178"/>
      <c r="F100" s="178"/>
      <c r="G100" s="179"/>
    </row>
    <row r="101">
      <c r="A101" s="180"/>
      <c r="B101" s="178"/>
      <c r="C101" s="177"/>
      <c r="D101" s="178"/>
      <c r="E101" s="181"/>
      <c r="F101" s="181"/>
      <c r="G101" s="182"/>
    </row>
    <row r="102">
      <c r="A102" s="180"/>
      <c r="B102" s="178"/>
      <c r="C102" s="177"/>
      <c r="D102" s="178"/>
      <c r="E102" s="181"/>
      <c r="F102" s="181"/>
      <c r="G102" s="182"/>
    </row>
    <row r="103">
      <c r="A103" s="180"/>
      <c r="B103" s="178"/>
      <c r="C103" s="177"/>
      <c r="D103" s="178"/>
      <c r="E103" s="181"/>
      <c r="F103" s="181"/>
      <c r="G103" s="182"/>
    </row>
    <row r="104" ht="21.0" customHeight="1">
      <c r="A104" s="183" t="s">
        <v>38</v>
      </c>
      <c r="B104" s="184" t="s">
        <v>354</v>
      </c>
      <c r="C104" s="184" t="s">
        <v>341</v>
      </c>
      <c r="D104" s="184" t="s">
        <v>8</v>
      </c>
      <c r="E104" s="184" t="s">
        <v>342</v>
      </c>
      <c r="F104" s="184" t="s">
        <v>343</v>
      </c>
      <c r="G104" s="185" t="s">
        <v>43</v>
      </c>
    </row>
    <row r="105">
      <c r="A105" s="176"/>
      <c r="B105" s="177" t="s">
        <v>344</v>
      </c>
      <c r="C105" s="177"/>
      <c r="D105" s="178"/>
      <c r="E105" s="178"/>
      <c r="F105" s="178"/>
      <c r="G105" s="179"/>
    </row>
    <row r="106">
      <c r="A106" s="180"/>
      <c r="B106" s="178"/>
      <c r="C106" s="177"/>
      <c r="D106" s="178"/>
      <c r="E106" s="178"/>
      <c r="F106" s="178"/>
      <c r="G106" s="179"/>
    </row>
    <row r="107">
      <c r="A107" s="180"/>
      <c r="B107" s="178"/>
      <c r="C107" s="177"/>
      <c r="D107" s="178"/>
      <c r="E107" s="178"/>
      <c r="F107" s="178"/>
      <c r="G107" s="179"/>
    </row>
    <row r="108">
      <c r="A108" s="180"/>
      <c r="B108" s="178"/>
      <c r="C108" s="177"/>
      <c r="D108" s="178"/>
      <c r="E108" s="178"/>
      <c r="F108" s="178"/>
      <c r="G108" s="179"/>
    </row>
    <row r="109">
      <c r="A109" s="180"/>
      <c r="B109" s="178"/>
      <c r="C109" s="177"/>
      <c r="D109" s="178"/>
      <c r="E109" s="178"/>
      <c r="F109" s="178"/>
      <c r="G109" s="179"/>
    </row>
    <row r="110">
      <c r="A110" s="180"/>
      <c r="B110" s="178"/>
      <c r="C110" s="177"/>
      <c r="D110" s="178"/>
      <c r="E110" s="181"/>
      <c r="F110" s="181"/>
      <c r="G110" s="182"/>
    </row>
    <row r="111">
      <c r="A111" s="180"/>
      <c r="B111" s="178"/>
      <c r="C111" s="177"/>
      <c r="D111" s="178"/>
      <c r="E111" s="181"/>
      <c r="F111" s="181"/>
      <c r="G111" s="182"/>
    </row>
    <row r="112">
      <c r="A112" s="180"/>
      <c r="B112" s="178"/>
      <c r="C112" s="177"/>
      <c r="D112" s="178"/>
      <c r="E112" s="181"/>
      <c r="F112" s="181"/>
      <c r="G112" s="182"/>
    </row>
    <row r="113" ht="21.0" customHeight="1">
      <c r="A113" s="183" t="s">
        <v>38</v>
      </c>
      <c r="B113" s="184" t="s">
        <v>355</v>
      </c>
      <c r="C113" s="184" t="s">
        <v>341</v>
      </c>
      <c r="D113" s="184" t="s">
        <v>8</v>
      </c>
      <c r="E113" s="184" t="s">
        <v>342</v>
      </c>
      <c r="F113" s="184" t="s">
        <v>343</v>
      </c>
      <c r="G113" s="185" t="s">
        <v>43</v>
      </c>
    </row>
    <row r="114">
      <c r="A114" s="176"/>
      <c r="B114" s="177" t="s">
        <v>344</v>
      </c>
      <c r="C114" s="177"/>
      <c r="D114" s="178"/>
      <c r="E114" s="178"/>
      <c r="F114" s="178"/>
      <c r="G114" s="179"/>
    </row>
    <row r="115">
      <c r="A115" s="180"/>
      <c r="B115" s="178"/>
      <c r="C115" s="177"/>
      <c r="D115" s="178"/>
      <c r="E115" s="178"/>
      <c r="F115" s="178"/>
      <c r="G115" s="179"/>
    </row>
    <row r="116">
      <c r="A116" s="180"/>
      <c r="B116" s="178"/>
      <c r="C116" s="177"/>
      <c r="D116" s="178"/>
      <c r="E116" s="178"/>
      <c r="F116" s="178"/>
      <c r="G116" s="179"/>
    </row>
    <row r="117">
      <c r="A117" s="180"/>
      <c r="B117" s="178"/>
      <c r="C117" s="177"/>
      <c r="D117" s="178"/>
      <c r="E117" s="178"/>
      <c r="F117" s="178"/>
      <c r="G117" s="179"/>
    </row>
    <row r="118">
      <c r="A118" s="180"/>
      <c r="B118" s="178"/>
      <c r="C118" s="177"/>
      <c r="D118" s="178"/>
      <c r="E118" s="178"/>
      <c r="F118" s="178"/>
      <c r="G118" s="179"/>
    </row>
    <row r="119">
      <c r="A119" s="180"/>
      <c r="B119" s="178"/>
      <c r="C119" s="177"/>
      <c r="D119" s="178"/>
      <c r="E119" s="181"/>
      <c r="F119" s="181"/>
      <c r="G119" s="182"/>
    </row>
    <row r="120">
      <c r="A120" s="180"/>
      <c r="B120" s="178"/>
      <c r="C120" s="177"/>
      <c r="D120" s="178"/>
      <c r="E120" s="181"/>
      <c r="F120" s="181"/>
      <c r="G120" s="182"/>
    </row>
    <row r="121">
      <c r="A121" s="180"/>
      <c r="B121" s="178"/>
      <c r="C121" s="177"/>
      <c r="D121" s="178"/>
      <c r="E121" s="181"/>
      <c r="F121" s="181"/>
      <c r="G121" s="182"/>
    </row>
    <row r="122" ht="21.0" customHeight="1">
      <c r="A122" s="183" t="s">
        <v>38</v>
      </c>
      <c r="B122" s="184" t="s">
        <v>356</v>
      </c>
      <c r="C122" s="184" t="s">
        <v>341</v>
      </c>
      <c r="D122" s="184" t="s">
        <v>8</v>
      </c>
      <c r="E122" s="184" t="s">
        <v>342</v>
      </c>
      <c r="F122" s="184" t="s">
        <v>343</v>
      </c>
      <c r="G122" s="185" t="s">
        <v>43</v>
      </c>
    </row>
    <row r="123">
      <c r="A123" s="176"/>
      <c r="B123" s="177" t="s">
        <v>344</v>
      </c>
      <c r="C123" s="177"/>
      <c r="D123" s="178"/>
      <c r="E123" s="178"/>
      <c r="F123" s="178"/>
      <c r="G123" s="179"/>
    </row>
    <row r="124">
      <c r="A124" s="180"/>
      <c r="B124" s="178"/>
      <c r="C124" s="177"/>
      <c r="D124" s="178"/>
      <c r="E124" s="178"/>
      <c r="F124" s="178"/>
      <c r="G124" s="179"/>
    </row>
    <row r="125">
      <c r="A125" s="180"/>
      <c r="B125" s="178"/>
      <c r="C125" s="177"/>
      <c r="D125" s="178"/>
      <c r="E125" s="178"/>
      <c r="F125" s="178"/>
      <c r="G125" s="179"/>
    </row>
    <row r="126">
      <c r="A126" s="180"/>
      <c r="B126" s="178"/>
      <c r="C126" s="177"/>
      <c r="D126" s="178"/>
      <c r="E126" s="178"/>
      <c r="F126" s="178"/>
      <c r="G126" s="179"/>
    </row>
    <row r="127">
      <c r="A127" s="180"/>
      <c r="B127" s="178"/>
      <c r="C127" s="177"/>
      <c r="D127" s="178"/>
      <c r="E127" s="178"/>
      <c r="F127" s="178"/>
      <c r="G127" s="179"/>
    </row>
    <row r="128">
      <c r="A128" s="180"/>
      <c r="B128" s="178"/>
      <c r="C128" s="177"/>
      <c r="D128" s="178"/>
      <c r="E128" s="181"/>
      <c r="F128" s="181"/>
      <c r="G128" s="182"/>
    </row>
    <row r="129">
      <c r="A129" s="180"/>
      <c r="B129" s="178"/>
      <c r="C129" s="177"/>
      <c r="D129" s="178"/>
      <c r="E129" s="181"/>
      <c r="F129" s="181"/>
      <c r="G129" s="182"/>
    </row>
    <row r="130">
      <c r="A130" s="180"/>
      <c r="B130" s="178"/>
      <c r="C130" s="177"/>
      <c r="D130" s="178"/>
      <c r="E130" s="181"/>
      <c r="F130" s="181"/>
      <c r="G130" s="182"/>
    </row>
    <row r="131" ht="21.0" customHeight="1">
      <c r="A131" s="183" t="s">
        <v>38</v>
      </c>
      <c r="B131" s="184" t="s">
        <v>357</v>
      </c>
      <c r="C131" s="184" t="s">
        <v>341</v>
      </c>
      <c r="D131" s="184" t="s">
        <v>8</v>
      </c>
      <c r="E131" s="184" t="s">
        <v>342</v>
      </c>
      <c r="F131" s="184" t="s">
        <v>343</v>
      </c>
      <c r="G131" s="185" t="s">
        <v>43</v>
      </c>
    </row>
    <row r="132">
      <c r="A132" s="176"/>
      <c r="B132" s="177" t="s">
        <v>344</v>
      </c>
      <c r="C132" s="177"/>
      <c r="D132" s="178"/>
      <c r="E132" s="178"/>
      <c r="F132" s="178"/>
      <c r="G132" s="179"/>
    </row>
    <row r="133">
      <c r="A133" s="180"/>
      <c r="B133" s="178"/>
      <c r="C133" s="177"/>
      <c r="D133" s="178"/>
      <c r="E133" s="178"/>
      <c r="F133" s="178"/>
      <c r="G133" s="179"/>
    </row>
    <row r="134">
      <c r="A134" s="180"/>
      <c r="B134" s="178"/>
      <c r="C134" s="177"/>
      <c r="D134" s="178"/>
      <c r="E134" s="178"/>
      <c r="F134" s="178"/>
      <c r="G134" s="179"/>
    </row>
    <row r="135">
      <c r="A135" s="180"/>
      <c r="B135" s="178"/>
      <c r="C135" s="177"/>
      <c r="D135" s="178"/>
      <c r="E135" s="178"/>
      <c r="F135" s="178"/>
      <c r="G135" s="179"/>
    </row>
    <row r="136">
      <c r="A136" s="180"/>
      <c r="B136" s="178"/>
      <c r="C136" s="177"/>
      <c r="D136" s="178"/>
      <c r="E136" s="178"/>
      <c r="F136" s="178"/>
      <c r="G136" s="179"/>
    </row>
    <row r="137">
      <c r="A137" s="180"/>
      <c r="B137" s="178"/>
      <c r="C137" s="177"/>
      <c r="D137" s="178"/>
      <c r="E137" s="181"/>
      <c r="F137" s="181"/>
      <c r="G137" s="182"/>
    </row>
    <row r="138">
      <c r="A138" s="180"/>
      <c r="B138" s="178"/>
      <c r="C138" s="177"/>
      <c r="D138" s="178"/>
      <c r="E138" s="181"/>
      <c r="F138" s="181"/>
      <c r="G138" s="182"/>
    </row>
    <row r="139">
      <c r="A139" s="188"/>
      <c r="B139" s="189"/>
      <c r="C139" s="190"/>
      <c r="D139" s="189"/>
      <c r="E139" s="191"/>
      <c r="F139" s="191"/>
      <c r="G139" s="192"/>
    </row>
  </sheetData>
  <mergeCells count="2">
    <mergeCell ref="A2:G2"/>
    <mergeCell ref="A3:G4"/>
  </mergeCells>
  <dataValidations>
    <dataValidation type="list" allowBlank="1" showErrorMessage="1" sqref="C6:C13 C15:C22 C24:C31 C33:C40 C42:C49 C51:C58 C60:C67 C69:C76 C78:C85 C87:C94 C96:C103 C105:C112 C114:C121 C123:C130 C132:C139">
      <formula1>setup!$B$3:$B$23</formula1>
    </dataValidation>
    <dataValidation type="list" allowBlank="1" showErrorMessage="1" sqref="D6:D13 D15:D22 D24:D31 D33:D40 D42:D49 D51:D58 D60:D67 D69:D76 D78:D85 D87:D94 D96:D103 D105:D112 D114:D121 D123:D130 D132:D139">
      <formula1>setup!$A$3:$A$23</formula1>
    </dataValidation>
    <dataValidation type="list" allowBlank="1" showErrorMessage="1" sqref="B5 B14 B23 B32 B41 B50 B59 B68 B77 B86 B95 B104 B113 B122 B131">
      <formula1>setup!$C$3:$C$23</formula1>
    </dataValidation>
  </dataValidations>
  <drawing r:id="rId1"/>
</worksheet>
</file>